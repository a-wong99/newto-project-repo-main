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E6C44D1F-6BB8-4F5E-8129-313047EB89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essments" sheetId="1" r:id="rId1"/>
    <sheet name="bike_buyers" sheetId="2" r:id="rId2"/>
    <sheet name="Question 3" sheetId="4" r:id="rId3"/>
    <sheet name="Question 8" sheetId="6" r:id="rId4"/>
    <sheet name="Question 8 (2)" sheetId="7" state="hidden" r:id="rId5"/>
    <sheet name="Question 8 (3)" sheetId="8" state="hidden" r:id="rId6"/>
    <sheet name="Question 11" sheetId="3" r:id="rId7"/>
  </sheets>
  <definedNames>
    <definedName name="_xlnm._FilterDatabase" localSheetId="1" hidden="1">bike_buyers!$S$25:$AI$28</definedName>
    <definedName name="_xlnm.Criteria" localSheetId="1">bike_buyers!$S$22:$U$23</definedName>
    <definedName name="_xlnm.Extract" localSheetId="1">bike_buyers!$S$25:$AI$25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4jzULgM++4WSzm8HiRoVTGOE3/62YeBlMv+IWy7tyIw="/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U34" i="2"/>
  <c r="S31" i="2"/>
  <c r="U19" i="2"/>
  <c r="T16" i="2"/>
  <c r="T15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T12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sharedStrings.xml><?xml version="1.0" encoding="utf-8"?>
<sst xmlns="http://schemas.openxmlformats.org/spreadsheetml/2006/main" count="1774" uniqueCount="84">
  <si>
    <t>Excel Instructions</t>
  </si>
  <si>
    <t>1. Create a new column called Monthly Income. Use a formula to divide Income by 12.</t>
  </si>
  <si>
    <t>2. Using Conditional Format, Highlight rows where Income is greater than $80,000.Use a different color to 
 highlight Age under 30 and where Purchased Bike = No</t>
  </si>
  <si>
    <t>3. Create a bar chart showing average Income by Education level.Add data labels and a title to your chart.</t>
  </si>
  <si>
    <t>4. Add a column called High Income. If Income is high use function to determine 
 the status ,if status &gt;70000 put “high income” and if less put, “less income”</t>
  </si>
  <si>
    <t>5. Add data validation on the payment type and allow users to choose Debit or EFT</t>
  </si>
  <si>
    <t>6. Count how many bike buyers are from Europe AND have 2+ Cars</t>
  </si>
  <si>
    <t>7. Create a column called 
 Target Customer:Mark “Yes” if Income &gt; 70,000 AND Age &lt; 40  Else "No"</t>
  </si>
  <si>
    <t>8. Create a dashboard that includes:Total number of Bike Purchases ,Purchases by Region (Pie or Bar Chart), Avg.
  Income of buyers vs non-buyers</t>
  </si>
  <si>
    <t>9. Count how many males and females are on the table using the count function</t>
  </si>
  <si>
    <t>10. Using INDEX MATCH function find the income of the following ID 15214</t>
  </si>
  <si>
    <t>11. Advance Filter for people who: Are under 35, Have Income &gt; 75,000 , 
 Haven’t purchased a bike  , Export this list to a new sheet as a sales lead list.</t>
  </si>
  <si>
    <t>12. Count the total number of people who purchased a bike.</t>
  </si>
  <si>
    <t>13. Using VLOOKUP find the Age for ID 25598</t>
  </si>
  <si>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</si>
  <si>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</si>
  <si>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</si>
  <si>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</si>
  <si>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</si>
  <si>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</si>
  <si>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</si>
  <si>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</si>
  <si>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</si>
  <si>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</si>
  <si>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</si>
  <si>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</si>
  <si>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</si>
  <si>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Payment Type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</si>
  <si>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</si>
  <si>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</si>
  <si>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</si>
  <si>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</si>
  <si>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</si>
  <si>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</si>
  <si>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</si>
  <si>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</si>
  <si>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</si>
  <si>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</si>
  <si>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</si>
  <si>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</si>
  <si>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</si>
  <si>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</si>
  <si>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</si>
  <si>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</si>
  <si>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</si>
  <si>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</si>
  <si>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</si>
  <si>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</si>
  <si>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</si>
  <si>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</si>
  <si>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Monthly Income</t>
  </si>
  <si>
    <t>Formatting:</t>
  </si>
  <si>
    <t>Format if income is greater than:</t>
  </si>
  <si>
    <t>Format if age less than:</t>
  </si>
  <si>
    <t>and purchased bike is:</t>
  </si>
  <si>
    <t>Average of Income</t>
  </si>
  <si>
    <t>High Income</t>
  </si>
  <si>
    <t>Debit</t>
  </si>
  <si>
    <t>EFT</t>
  </si>
  <si>
    <t>Count of buyers from Europe and have 2+ cars</t>
  </si>
  <si>
    <t>QUESTION 6:</t>
  </si>
  <si>
    <t>Answer: 39 using formula (=COUNTIFS(K2:K200, "Europe",I2:I200, "&gt;=2")</t>
  </si>
  <si>
    <t>Target Customer</t>
  </si>
  <si>
    <t>Row Labels</t>
  </si>
  <si>
    <t>Grand Total</t>
  </si>
  <si>
    <t>Count of Purchased Bike</t>
  </si>
  <si>
    <t>Question 9 Count of Males and Females</t>
  </si>
  <si>
    <t>Males</t>
  </si>
  <si>
    <t>Females</t>
  </si>
  <si>
    <t>Question 10: Index Match for ID:</t>
  </si>
  <si>
    <t>Formula used: (=INDEX(D2:D200, MATCH($V$18, A2:A200, 0))</t>
  </si>
  <si>
    <t>Question 11 Criteria</t>
  </si>
  <si>
    <t>&lt;35</t>
  </si>
  <si>
    <t>&gt;75000</t>
  </si>
  <si>
    <t>(I assume under 35 means using &lt;35 as the criteria, so there were only three results. If 35 year olds were included, there would be 6, but I made the assumption &lt;35 not &lt;=35)</t>
  </si>
  <si>
    <t>Using COUNTIF(M2:200,"Yes") I found the number to be 105</t>
  </si>
  <si>
    <t>Question 12</t>
  </si>
  <si>
    <t>Question 13</t>
  </si>
  <si>
    <t>Vlookup for ID</t>
  </si>
  <si>
    <t>Age of 25598:</t>
  </si>
  <si>
    <t>Green for Income &gt;80,000, Orange for Age &lt;30 and Purchased Bike = No</t>
  </si>
  <si>
    <t>Income:</t>
  </si>
  <si>
    <t>Used formula (=VLOOKUP(S34,A2:L200,12,FALSE)), found age to be 36</t>
  </si>
  <si>
    <t>NAME: ANDREAS WONG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</si>
</sst>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0"/>
      <name val="Calibri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2" borderId="1" xfId="0" applyFont="1" applyFill="1" applyBorder="1"/>
    <xf numFmtId="0" fontId="7" fillId="0" borderId="0" xfId="0" applyFont="1"/>
    <xf numFmtId="164" fontId="6" fillId="0" borderId="0" xfId="0" applyNumberFormat="1" applyFont="1"/>
    <xf numFmtId="0" fontId="3" fillId="0" borderId="0" xfId="0" applyFont="1"/>
    <xf numFmtId="3" fontId="0" fillId="0" borderId="0" xfId="0" applyNumberFormat="1"/>
    <xf numFmtId="0" fontId="8" fillId="2" borderId="1" xfId="0" applyFont="1" applyFill="1" applyBorder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9" fillId="2" borderId="2" xfId="0" applyFont="1" applyFill="1" applyBorder="1"/>
    <xf numFmtId="0" fontId="10" fillId="0" borderId="0" xfId="0" applyFont="1" applyAlignment="1">
      <alignment horizontal="left"/>
    </xf>
    <xf numFmtId="0" fontId="2" fillId="0" borderId="0" xfId="0" applyFont="1"/>
    <xf numFmtId="0" fontId="8" fillId="0" borderId="0" xfId="0" applyFont="1"/>
    <xf numFmtId="164" fontId="8" fillId="0" borderId="0" xfId="0" applyNumberFormat="1" applyFont="1"/>
    <xf numFmtId="0" fontId="1" fillId="0" borderId="0" xfId="0" applyFont="1"/>
    <xf numFmtId="0" fontId="12" fillId="0" borderId="0" xfId="0" applyFont="1"/>
    <xf numFmtId="0" fontId="11" fillId="0" borderId="0" xfId="0" applyFont="1" applyAlignment="1">
      <alignment horizontal="left"/>
    </xf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/>
        <i val="0"/>
      </font>
      <fill>
        <patternFill>
          <bgColor rgb="FF7CF90B"/>
        </patternFill>
      </fill>
    </dxf>
    <dxf>
      <font>
        <b/>
        <i val="0"/>
      </font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548135"/>
          <bgColor rgb="FF548135"/>
        </patternFill>
      </fill>
    </dxf>
  </dxfs>
  <tableStyles count="0" defaultTableStyle="TableStyleMedium2" defaultPivotStyle="PivotStyleLight16"/>
  <colors>
    <mruColors>
      <color rgb="FF03AD34"/>
      <color rgb="FF7CF9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[NewTo Excel project final draft Andreas Wong.xlsx]Question 3!PivotTable29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of Monthly Income by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'Question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3'!$A$4:$A$8</c:f>
              <c:strCache>
                <c:ptCount val="5"/>
                <c:pt idx="0">
                  <c:v>Bachelors</c:v>
                </c:pt>
                <c:pt idx="1">
                  <c:v>Graduate Degree</c:v>
                </c:pt>
                <c:pt idx="2">
                  <c:v>High School</c:v>
                </c:pt>
                <c:pt idx="3">
                  <c:v>Partial College</c:v>
                </c:pt>
                <c:pt idx="4">
                  <c:v>Partial High School</c:v>
                </c:pt>
              </c:strCache>
            </c:strRef>
          </c:cat>
          <c:val>
            <c:numRef>
              <c:f>'Question 3'!$B$4:$B$8</c:f>
              <c:numCache>
                <c:formatCode>"$"#,##0.00</c:formatCode>
                <c:ptCount val="5"/>
                <c:pt idx="0">
                  <c:v>53492.063492063491</c:v>
                </c:pt>
                <c:pt idx="1">
                  <c:v>46666.666666666664</c:v>
                </c:pt>
                <c:pt idx="2">
                  <c:v>50526.315789473687</c:v>
                </c:pt>
                <c:pt idx="3">
                  <c:v>49558.823529411762</c:v>
                </c:pt>
                <c:pt idx="4">
                  <c:v>21333.333333333332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86-4AF9-8A79-0801CCD5B3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59136959"/>
        <c:axId val="1659135039"/>
      </c:barChart>
      <c:catAx>
        <c:axId val="1659136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135039"/>
        <c:crosses val="autoZero"/>
        <c:auto val="1"/>
        <c:lblAlgn val="ctr"/>
        <c:lblOffset val="100"/>
        <c:noMultiLvlLbl val="0"/>
      </c:catAx>
      <c:valAx>
        <c:axId val="165913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13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[NewTo Excel project final draft Andreas Wong.xlsx]Question 8!PivotTable73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number of bike purchases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39733494851605"/>
          <c:y val="0.25402559055118112"/>
          <c:w val="0.7494282253179891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 8'!$B$3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8'!$A$4:$A$5</c:f>
              <c:strCache>
                <c:ptCount val="1"/>
                <c:pt idx="0">
                  <c:v>Yes</c:v>
                </c:pt>
              </c:strCache>
            </c:strRef>
          </c:cat>
          <c:val>
            <c:numRef>
              <c:f>'Question 8'!$B$4:$B$5</c:f>
              <c:numCache>
                <c:formatCode>General</c:formatCode>
                <c:ptCount val="1"/>
                <c:pt idx="0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C-466A-A6F2-D97E5EA5FA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1436463"/>
        <c:axId val="1659135519"/>
      </c:barChart>
      <c:catAx>
        <c:axId val="146143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135519"/>
        <c:crosses val="autoZero"/>
        <c:auto val="1"/>
        <c:lblAlgn val="ctr"/>
        <c:lblOffset val="100"/>
        <c:noMultiLvlLbl val="0"/>
      </c:catAx>
      <c:valAx>
        <c:axId val="165913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43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[NewTo Excel project final draft Andreas Wong.xlsx]Question 8 (3)!PivotTable73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</a:t>
            </a:r>
            <a:r>
              <a:rPr lang="en-US" baseline="0"/>
              <a:t> of buyers vs Non buyers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3AD34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3AD34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3AD34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239733494851605"/>
          <c:y val="0.25402559055118112"/>
          <c:w val="0.7494282253179891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 8 (3)'!$B$3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3AD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0A-4467-B16D-B9C837F410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8 (3)'!$A$4:$A$6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'Question 8 (3)'!$B$4:$B$6</c:f>
              <c:numCache>
                <c:formatCode>"$"#,##0.00</c:formatCode>
                <c:ptCount val="2"/>
                <c:pt idx="0">
                  <c:v>49042.553191489358</c:v>
                </c:pt>
                <c:pt idx="1">
                  <c:v>48285.714285714283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0A-4467-B16D-B9C837F410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612669071"/>
        <c:axId val="1612669551"/>
      </c:barChart>
      <c:catAx>
        <c:axId val="1612669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669551"/>
        <c:crosses val="autoZero"/>
        <c:auto val="1"/>
        <c:lblAlgn val="ctr"/>
        <c:lblOffset val="100"/>
        <c:noMultiLvlLbl val="0"/>
      </c:catAx>
      <c:valAx>
        <c:axId val="161266955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66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[NewTo Excel project final draft Andreas Wong.xlsx]Question 8 (2)!PivotTable73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239733494851605"/>
          <c:y val="0.25402559055118112"/>
          <c:w val="0.74942822531798914"/>
          <c:h val="0.53774387576552929"/>
        </c:manualLayout>
      </c:layout>
      <c:pieChart>
        <c:varyColors val="1"/>
        <c:ser>
          <c:idx val="0"/>
          <c:order val="0"/>
          <c:tx>
            <c:strRef>
              <c:f>'Question 8 (2)'!$B$3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FE-4791-BC44-54D83B3432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FE-4791-BC44-54D83B3432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'Question 8 (2)'!$A$4:$A$7</c:f>
              <c:multiLvlStrCache>
                <c:ptCount val="2"/>
                <c:lvl>
                  <c:pt idx="0">
                    <c:v>Europe</c:v>
                  </c:pt>
                  <c:pt idx="1">
                    <c:v>Pacific</c:v>
                  </c:pt>
                </c:lvl>
                <c:lvl>
                  <c:pt idx="0">
                    <c:v>Yes</c:v>
                  </c:pt>
                </c:lvl>
              </c:multiLvlStrCache>
            </c:multiLvlStrRef>
          </c:cat>
          <c:val>
            <c:numRef>
              <c:f>'Question 8 (2)'!$B$4:$B$7</c:f>
              <c:numCache>
                <c:formatCode>General</c:formatCode>
                <c:ptCount val="2"/>
                <c:pt idx="0">
                  <c:v>58</c:v>
                </c:pt>
                <c:pt idx="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FE-4791-BC44-54D83B343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[NewTo Excel project final draft Andreas Wong.xlsx]Question 8 (2)!PivotTable73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239733494851605"/>
          <c:y val="0.25402559055118112"/>
          <c:w val="0.74942822531798914"/>
          <c:h val="0.53774387576552929"/>
        </c:manualLayout>
      </c:layout>
      <c:pieChart>
        <c:varyColors val="1"/>
        <c:ser>
          <c:idx val="0"/>
          <c:order val="0"/>
          <c:tx>
            <c:strRef>
              <c:f>'Question 8 (2)'!$B$3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E53-44F4-BFE7-C087A7E5A4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E53-44F4-BFE7-C087A7E5A4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'Question 8 (2)'!$A$4:$A$7</c:f>
              <c:multiLvlStrCache>
                <c:ptCount val="2"/>
                <c:lvl>
                  <c:pt idx="0">
                    <c:v>Europe</c:v>
                  </c:pt>
                  <c:pt idx="1">
                    <c:v>Pacific</c:v>
                  </c:pt>
                </c:lvl>
                <c:lvl>
                  <c:pt idx="0">
                    <c:v>Yes</c:v>
                  </c:pt>
                </c:lvl>
              </c:multiLvlStrCache>
            </c:multiLvlStrRef>
          </c:cat>
          <c:val>
            <c:numRef>
              <c:f>'Question 8 (2)'!$B$4:$B$7</c:f>
              <c:numCache>
                <c:formatCode>General</c:formatCode>
                <c:ptCount val="2"/>
                <c:pt idx="0">
                  <c:v>58</c:v>
                </c:pt>
                <c:pt idx="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B-4756-A253-95D50E679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[NewTo Excel project final draft Andreas Wong.xlsx]Question 8 (3)!PivotTable73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</a:t>
            </a:r>
            <a:r>
              <a:rPr lang="en-US" baseline="0"/>
              <a:t> of buyers vs Non buyers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3AD34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1239733494851605"/>
          <c:y val="0.25402559055118112"/>
          <c:w val="0.7494282253179891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 8 (3)'!$B$3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3AD3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3A-4BC6-B349-C3469B92B1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'Question 8 (3)'!$A$4:$A$6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'Question 8 (3)'!$B$4:$B$6</c:f>
              <c:numCache>
                <c:formatCode>"$"#,##0.00</c:formatCode>
                <c:ptCount val="2"/>
                <c:pt idx="0">
                  <c:v>49042.553191489358</c:v>
                </c:pt>
                <c:pt idx="1">
                  <c:v>48285.714285714283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3A-4BC6-B349-C3469B92B1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612669071"/>
        <c:axId val="1612669551"/>
      </c:barChart>
      <c:catAx>
        <c:axId val="16126690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669551"/>
        <c:crosses val="autoZero"/>
        <c:auto val="1"/>
        <c:lblAlgn val="ctr"/>
        <c:lblOffset val="100"/>
        <c:noMultiLvlLbl val="0"/>
      </c:catAx>
      <c:valAx>
        <c:axId val="161266955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66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1</xdr:row>
      <xdr:rowOff>38100</xdr:rowOff>
    </xdr:from>
    <xdr:to>
      <xdr:col>12</xdr:col>
      <xdr:colOff>44450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9BAA8F-B8CF-9063-318C-E29545F41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73025</xdr:rowOff>
    </xdr:from>
    <xdr:to>
      <xdr:col>4</xdr:col>
      <xdr:colOff>539750</xdr:colOff>
      <xdr:row>16</xdr:row>
      <xdr:rowOff>53975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5AF192-6D78-F1D8-7804-74C9B0BBD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1403350</xdr:colOff>
      <xdr:row>16</xdr:row>
      <xdr:rowOff>88900</xdr:rowOff>
    </xdr:from>
    <xdr:to>
      <xdr:col>9</xdr:col>
      <xdr:colOff>266700</xdr:colOff>
      <xdr:row>33</xdr:row>
      <xdr:rowOff>139701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708BC04-57CC-4CE2-B73A-4A95FED1A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25400</xdr:colOff>
      <xdr:row>1</xdr:row>
      <xdr:rowOff>69850</xdr:rowOff>
    </xdr:from>
    <xdr:to>
      <xdr:col>11</xdr:col>
      <xdr:colOff>596900</xdr:colOff>
      <xdr:row>16</xdr:row>
      <xdr:rowOff>50800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7823DCD-2274-42DE-AC6E-3C672187B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393700</xdr:colOff>
      <xdr:row>0</xdr:row>
      <xdr:rowOff>180975</xdr:rowOff>
    </xdr:from>
    <xdr:to>
      <xdr:col>9</xdr:col>
      <xdr:colOff>254000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076DD5-8A5A-47A6-A869-1450912EC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101600</xdr:colOff>
      <xdr:row>0</xdr:row>
      <xdr:rowOff>146050</xdr:rowOff>
    </xdr:from>
    <xdr:to>
      <xdr:col>10</xdr:col>
      <xdr:colOff>469900</xdr:colOff>
      <xdr:row>18</xdr:row>
      <xdr:rowOff>12701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25554D-68ED-4F70-9151-DD5FA33BB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s Wong" refreshedDate="46078.54988726852" createdVersion="8" refreshedVersion="8" minRefreshableVersion="3" recordCount="199" xr:uid="{1CC1D8C9-76F8-48CD-9EBF-492B6E2EB386}">
  <cacheSource type="worksheet">
    <worksheetSource name="Table1"/>
  </cacheSource>
  <cacheFields count="15">
    <cacheField name="ID" numFmtId="0">
      <sharedItems containsSemiMixedTypes="0" containsString="0" containsNumber="1" containsInteger="1" minValue="11047" maxValue="29380"/>
    </cacheField>
    <cacheField name="Marital Status" numFmtId="0">
      <sharedItems/>
    </cacheField>
    <cacheField name="Gender" numFmtId="0">
      <sharedItems/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 count="2">
        <s v="Europe"/>
        <s v="Pacific"/>
      </sharedItems>
    </cacheField>
    <cacheField name="Age" numFmtId="0">
      <sharedItems containsSemiMixedTypes="0" containsString="0" containsNumber="1" containsInteger="1" minValue="25" maxValue="68"/>
    </cacheField>
    <cacheField name="Purchased Bike" numFmtId="0">
      <sharedItems count="2">
        <s v="No"/>
        <s v="Yes"/>
      </sharedItems>
    </cacheField>
    <cacheField name="Monthly Income" numFmtId="0">
      <sharedItems containsSemiMixedTypes="0" containsString="0" containsNumber="1" minValue="833.33333333333337" maxValue="14166.666666666666"/>
    </cacheField>
    <cacheField name="Payment Typ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2496"/>
    <s v="M"/>
    <s v="F"/>
    <n v="40000"/>
    <n v="1"/>
    <x v="0"/>
    <s v="Skilled Manual"/>
    <s v="Yes"/>
    <n v="0"/>
    <s v="0-1 Miles"/>
    <x v="0"/>
    <n v="42"/>
    <x v="0"/>
    <n v="3333.3333333333335"/>
    <m/>
  </r>
  <r>
    <n v="24107"/>
    <s v="M"/>
    <s v="M"/>
    <n v="30000"/>
    <n v="3"/>
    <x v="1"/>
    <s v="Clerical"/>
    <s v="Yes"/>
    <n v="1"/>
    <s v="0-1 Miles"/>
    <x v="0"/>
    <n v="43"/>
    <x v="0"/>
    <n v="2500"/>
    <m/>
  </r>
  <r>
    <n v="14177"/>
    <s v="M"/>
    <s v="M"/>
    <n v="80000"/>
    <n v="5"/>
    <x v="1"/>
    <s v="Professional"/>
    <s v="No"/>
    <n v="2"/>
    <s v="2-5 Miles"/>
    <x v="0"/>
    <n v="60"/>
    <x v="0"/>
    <n v="6666.666666666667"/>
    <m/>
  </r>
  <r>
    <n v="24381"/>
    <s v="S"/>
    <s v="M"/>
    <n v="70000"/>
    <n v="0"/>
    <x v="0"/>
    <s v="Professional"/>
    <s v="Yes"/>
    <n v="1"/>
    <s v="5-10 Miles"/>
    <x v="1"/>
    <n v="41"/>
    <x v="1"/>
    <n v="5833.333333333333"/>
    <m/>
  </r>
  <r>
    <n v="25597"/>
    <s v="S"/>
    <s v="M"/>
    <n v="30000"/>
    <n v="0"/>
    <x v="0"/>
    <s v="Clerical"/>
    <s v="No"/>
    <n v="0"/>
    <s v="0-1 Miles"/>
    <x v="0"/>
    <n v="36"/>
    <x v="1"/>
    <n v="2500"/>
    <m/>
  </r>
  <r>
    <n v="13507"/>
    <s v="M"/>
    <s v="F"/>
    <n v="10000"/>
    <n v="2"/>
    <x v="1"/>
    <s v="Manual"/>
    <s v="Yes"/>
    <n v="0"/>
    <s v="1-2 Miles"/>
    <x v="0"/>
    <n v="50"/>
    <x v="0"/>
    <n v="833.33333333333337"/>
    <m/>
  </r>
  <r>
    <n v="27974"/>
    <s v="S"/>
    <s v="M"/>
    <n v="160000"/>
    <n v="2"/>
    <x v="2"/>
    <s v="Management"/>
    <s v="Yes"/>
    <n v="4"/>
    <s v="0-1 Miles"/>
    <x v="1"/>
    <n v="33"/>
    <x v="1"/>
    <n v="13333.333333333334"/>
    <m/>
  </r>
  <r>
    <n v="19364"/>
    <s v="M"/>
    <s v="M"/>
    <n v="40000"/>
    <n v="1"/>
    <x v="0"/>
    <s v="Skilled Manual"/>
    <s v="Yes"/>
    <n v="0"/>
    <s v="0-1 Miles"/>
    <x v="0"/>
    <n v="43"/>
    <x v="1"/>
    <n v="3333.3333333333335"/>
    <m/>
  </r>
  <r>
    <n v="22155"/>
    <s v="M"/>
    <s v="M"/>
    <n v="20000"/>
    <n v="2"/>
    <x v="3"/>
    <s v="Clerical"/>
    <s v="Yes"/>
    <n v="2"/>
    <s v="5-10 Miles"/>
    <x v="1"/>
    <n v="58"/>
    <x v="0"/>
    <n v="1666.6666666666667"/>
    <m/>
  </r>
  <r>
    <n v="19280"/>
    <s v="M"/>
    <s v="M"/>
    <n v="120000"/>
    <n v="2"/>
    <x v="1"/>
    <s v="Manual"/>
    <s v="Yes"/>
    <n v="1"/>
    <s v="0-1 Miles"/>
    <x v="0"/>
    <n v="40"/>
    <x v="1"/>
    <n v="10000"/>
    <m/>
  </r>
  <r>
    <n v="22173"/>
    <s v="M"/>
    <s v="F"/>
    <n v="30000"/>
    <n v="3"/>
    <x v="2"/>
    <s v="Skilled Manual"/>
    <s v="No"/>
    <n v="2"/>
    <s v="1-2 Miles"/>
    <x v="1"/>
    <n v="54"/>
    <x v="1"/>
    <n v="2500"/>
    <m/>
  </r>
  <r>
    <n v="12697"/>
    <s v="S"/>
    <s v="F"/>
    <n v="90000"/>
    <n v="0"/>
    <x v="0"/>
    <s v="Professional"/>
    <s v="No"/>
    <n v="4"/>
    <s v="10+ Miles"/>
    <x v="1"/>
    <n v="36"/>
    <x v="0"/>
    <n v="7500"/>
    <m/>
  </r>
  <r>
    <n v="11434"/>
    <s v="M"/>
    <s v="M"/>
    <n v="170000"/>
    <n v="5"/>
    <x v="1"/>
    <s v="Professional"/>
    <s v="Yes"/>
    <n v="0"/>
    <s v="0-1 Miles"/>
    <x v="0"/>
    <n v="55"/>
    <x v="0"/>
    <n v="14166.666666666666"/>
    <m/>
  </r>
  <r>
    <n v="25323"/>
    <s v="M"/>
    <s v="M"/>
    <n v="40000"/>
    <n v="2"/>
    <x v="1"/>
    <s v="Clerical"/>
    <s v="Yes"/>
    <n v="1"/>
    <s v="1-2 Miles"/>
    <x v="0"/>
    <n v="35"/>
    <x v="1"/>
    <n v="3333.3333333333335"/>
    <m/>
  </r>
  <r>
    <n v="23542"/>
    <s v="S"/>
    <s v="M"/>
    <n v="60000"/>
    <n v="1"/>
    <x v="1"/>
    <s v="Skilled Manual"/>
    <s v="No"/>
    <n v="1"/>
    <s v="0-1 Miles"/>
    <x v="1"/>
    <n v="45"/>
    <x v="1"/>
    <n v="5000"/>
    <m/>
  </r>
  <r>
    <n v="20870"/>
    <s v="S"/>
    <s v="F"/>
    <n v="10000"/>
    <n v="2"/>
    <x v="2"/>
    <s v="Manual"/>
    <s v="Yes"/>
    <n v="1"/>
    <s v="0-1 Miles"/>
    <x v="0"/>
    <n v="38"/>
    <x v="1"/>
    <n v="833.33333333333337"/>
    <m/>
  </r>
  <r>
    <n v="23316"/>
    <s v="S"/>
    <s v="M"/>
    <n v="30000"/>
    <n v="3"/>
    <x v="1"/>
    <s v="Clerical"/>
    <s v="No"/>
    <n v="2"/>
    <s v="1-2 Miles"/>
    <x v="1"/>
    <n v="59"/>
    <x v="1"/>
    <n v="2500"/>
    <m/>
  </r>
  <r>
    <n v="12610"/>
    <s v="M"/>
    <s v="F"/>
    <n v="30000"/>
    <n v="1"/>
    <x v="0"/>
    <s v="Clerical"/>
    <s v="Yes"/>
    <n v="0"/>
    <s v="0-1 Miles"/>
    <x v="0"/>
    <n v="47"/>
    <x v="0"/>
    <n v="2500"/>
    <m/>
  </r>
  <r>
    <n v="27183"/>
    <s v="S"/>
    <s v="M"/>
    <n v="40000"/>
    <n v="2"/>
    <x v="1"/>
    <s v="Clerical"/>
    <s v="Yes"/>
    <n v="1"/>
    <s v="1-2 Miles"/>
    <x v="0"/>
    <n v="35"/>
    <x v="1"/>
    <n v="3333.3333333333335"/>
    <m/>
  </r>
  <r>
    <n v="25940"/>
    <s v="S"/>
    <s v="M"/>
    <n v="20000"/>
    <n v="2"/>
    <x v="3"/>
    <s v="Clerical"/>
    <s v="Yes"/>
    <n v="2"/>
    <s v="5-10 Miles"/>
    <x v="1"/>
    <n v="55"/>
    <x v="1"/>
    <n v="1666.6666666666667"/>
    <m/>
  </r>
  <r>
    <n v="25598"/>
    <s v="M"/>
    <s v="F"/>
    <n v="40000"/>
    <n v="0"/>
    <x v="4"/>
    <s v="Clerical"/>
    <s v="Yes"/>
    <n v="0"/>
    <s v="0-1 Miles"/>
    <x v="0"/>
    <n v="36"/>
    <x v="1"/>
    <n v="3333.3333333333335"/>
    <m/>
  </r>
  <r>
    <n v="21564"/>
    <s v="S"/>
    <s v="F"/>
    <n v="80000"/>
    <n v="0"/>
    <x v="0"/>
    <s v="Professional"/>
    <s v="Yes"/>
    <n v="4"/>
    <s v="10+ Miles"/>
    <x v="1"/>
    <n v="35"/>
    <x v="0"/>
    <n v="6666.666666666667"/>
    <m/>
  </r>
  <r>
    <n v="19193"/>
    <s v="S"/>
    <s v="M"/>
    <n v="40000"/>
    <n v="2"/>
    <x v="1"/>
    <s v="Clerical"/>
    <s v="Yes"/>
    <n v="0"/>
    <s v="1-2 Miles"/>
    <x v="0"/>
    <n v="35"/>
    <x v="1"/>
    <n v="3333.3333333333335"/>
    <m/>
  </r>
  <r>
    <n v="26412"/>
    <s v="M"/>
    <s v="F"/>
    <n v="80000"/>
    <n v="5"/>
    <x v="2"/>
    <s v="Management"/>
    <s v="No"/>
    <n v="3"/>
    <s v="5-10 Miles"/>
    <x v="0"/>
    <n v="56"/>
    <x v="0"/>
    <n v="6666.666666666667"/>
    <m/>
  </r>
  <r>
    <n v="27184"/>
    <s v="S"/>
    <s v="M"/>
    <n v="40000"/>
    <n v="2"/>
    <x v="1"/>
    <s v="Clerical"/>
    <s v="No"/>
    <n v="1"/>
    <s v="0-1 Miles"/>
    <x v="0"/>
    <n v="34"/>
    <x v="0"/>
    <n v="3333.3333333333335"/>
    <m/>
  </r>
  <r>
    <n v="12590"/>
    <s v="S"/>
    <s v="M"/>
    <n v="30000"/>
    <n v="1"/>
    <x v="0"/>
    <s v="Clerical"/>
    <s v="Yes"/>
    <n v="0"/>
    <s v="0-1 Miles"/>
    <x v="0"/>
    <n v="63"/>
    <x v="0"/>
    <n v="2500"/>
    <m/>
  </r>
  <r>
    <n v="17841"/>
    <s v="S"/>
    <s v="M"/>
    <n v="30000"/>
    <n v="0"/>
    <x v="1"/>
    <s v="Clerical"/>
    <s v="No"/>
    <n v="1"/>
    <s v="0-1 Miles"/>
    <x v="0"/>
    <n v="29"/>
    <x v="1"/>
    <n v="2500"/>
    <m/>
  </r>
  <r>
    <n v="18283"/>
    <s v="S"/>
    <s v="F"/>
    <n v="100000"/>
    <n v="0"/>
    <x v="0"/>
    <s v="Professional"/>
    <s v="No"/>
    <n v="1"/>
    <s v="5-10 Miles"/>
    <x v="1"/>
    <n v="40"/>
    <x v="0"/>
    <n v="8333.3333333333339"/>
    <m/>
  </r>
  <r>
    <n v="18299"/>
    <s v="M"/>
    <s v="M"/>
    <n v="70000"/>
    <n v="5"/>
    <x v="1"/>
    <s v="Skilled Manual"/>
    <s v="Yes"/>
    <n v="2"/>
    <s v="5-10 Miles"/>
    <x v="1"/>
    <n v="44"/>
    <x v="0"/>
    <n v="5833.333333333333"/>
    <m/>
  </r>
  <r>
    <n v="16466"/>
    <s v="S"/>
    <s v="F"/>
    <n v="20000"/>
    <n v="0"/>
    <x v="3"/>
    <s v="Manual"/>
    <s v="No"/>
    <n v="2"/>
    <s v="0-1 Miles"/>
    <x v="0"/>
    <n v="32"/>
    <x v="1"/>
    <n v="1666.6666666666667"/>
    <m/>
  </r>
  <r>
    <n v="19273"/>
    <s v="M"/>
    <s v="F"/>
    <n v="20000"/>
    <n v="2"/>
    <x v="1"/>
    <s v="Manual"/>
    <s v="Yes"/>
    <n v="0"/>
    <s v="0-1 Miles"/>
    <x v="0"/>
    <n v="63"/>
    <x v="0"/>
    <n v="1666.6666666666667"/>
    <m/>
  </r>
  <r>
    <n v="22400"/>
    <s v="M"/>
    <s v="M"/>
    <n v="10000"/>
    <n v="0"/>
    <x v="1"/>
    <s v="Manual"/>
    <s v="No"/>
    <n v="1"/>
    <s v="0-1 Miles"/>
    <x v="1"/>
    <n v="26"/>
    <x v="1"/>
    <n v="833.33333333333337"/>
    <m/>
  </r>
  <r>
    <n v="20942"/>
    <s v="S"/>
    <s v="F"/>
    <n v="20000"/>
    <n v="0"/>
    <x v="2"/>
    <s v="Manual"/>
    <s v="No"/>
    <n v="1"/>
    <s v="5-10 Miles"/>
    <x v="0"/>
    <n v="31"/>
    <x v="0"/>
    <n v="1666.6666666666667"/>
    <m/>
  </r>
  <r>
    <n v="18484"/>
    <s v="S"/>
    <s v="M"/>
    <n v="80000"/>
    <n v="2"/>
    <x v="2"/>
    <s v="Skilled Manual"/>
    <s v="No"/>
    <n v="2"/>
    <s v="1-2 Miles"/>
    <x v="1"/>
    <n v="50"/>
    <x v="1"/>
    <n v="6666.666666666667"/>
    <m/>
  </r>
  <r>
    <n v="12291"/>
    <s v="S"/>
    <s v="M"/>
    <n v="90000"/>
    <n v="5"/>
    <x v="1"/>
    <s v="Professional"/>
    <s v="No"/>
    <n v="2"/>
    <s v="2-5 Miles"/>
    <x v="0"/>
    <n v="62"/>
    <x v="1"/>
    <n v="7500"/>
    <m/>
  </r>
  <r>
    <n v="28380"/>
    <s v="S"/>
    <s v="F"/>
    <n v="10000"/>
    <n v="5"/>
    <x v="3"/>
    <s v="Manual"/>
    <s v="No"/>
    <n v="2"/>
    <s v="0-1 Miles"/>
    <x v="0"/>
    <n v="41"/>
    <x v="0"/>
    <n v="833.33333333333337"/>
    <m/>
  </r>
  <r>
    <n v="17891"/>
    <s v="M"/>
    <s v="F"/>
    <n v="10000"/>
    <n v="2"/>
    <x v="1"/>
    <s v="Manual"/>
    <s v="Yes"/>
    <n v="1"/>
    <s v="0-1 Miles"/>
    <x v="0"/>
    <n v="50"/>
    <x v="1"/>
    <n v="833.33333333333337"/>
    <m/>
  </r>
  <r>
    <n v="27832"/>
    <s v="S"/>
    <s v="F"/>
    <n v="30000"/>
    <n v="0"/>
    <x v="1"/>
    <s v="Clerical"/>
    <s v="No"/>
    <n v="1"/>
    <s v="2-5 Miles"/>
    <x v="0"/>
    <n v="30"/>
    <x v="0"/>
    <n v="2500"/>
    <m/>
  </r>
  <r>
    <n v="26863"/>
    <s v="S"/>
    <s v="M"/>
    <n v="20000"/>
    <n v="0"/>
    <x v="2"/>
    <s v="Manual"/>
    <s v="No"/>
    <n v="1"/>
    <s v="2-5 Miles"/>
    <x v="0"/>
    <n v="28"/>
    <x v="0"/>
    <n v="1666.6666666666667"/>
    <m/>
  </r>
  <r>
    <n v="16259"/>
    <s v="S"/>
    <s v="F"/>
    <n v="10000"/>
    <n v="4"/>
    <x v="3"/>
    <s v="Manual"/>
    <s v="Yes"/>
    <n v="2"/>
    <s v="0-1 Miles"/>
    <x v="0"/>
    <n v="40"/>
    <x v="1"/>
    <n v="833.33333333333337"/>
    <m/>
  </r>
  <r>
    <n v="27803"/>
    <s v="S"/>
    <s v="F"/>
    <n v="30000"/>
    <n v="2"/>
    <x v="1"/>
    <s v="Clerical"/>
    <s v="No"/>
    <n v="0"/>
    <s v="0-1 Miles"/>
    <x v="0"/>
    <n v="43"/>
    <x v="0"/>
    <n v="2500"/>
    <m/>
  </r>
  <r>
    <n v="14347"/>
    <s v="S"/>
    <s v="F"/>
    <n v="40000"/>
    <n v="2"/>
    <x v="0"/>
    <s v="Management"/>
    <s v="Yes"/>
    <n v="2"/>
    <s v="5-10 Miles"/>
    <x v="1"/>
    <n v="65"/>
    <x v="1"/>
    <n v="3333.3333333333335"/>
    <m/>
  </r>
  <r>
    <n v="17703"/>
    <s v="M"/>
    <s v="F"/>
    <n v="10000"/>
    <n v="1"/>
    <x v="4"/>
    <s v="Manual"/>
    <s v="Yes"/>
    <n v="0"/>
    <s v="0-1 Miles"/>
    <x v="0"/>
    <n v="40"/>
    <x v="0"/>
    <n v="833.33333333333337"/>
    <m/>
  </r>
  <r>
    <n v="17185"/>
    <s v="M"/>
    <s v="F"/>
    <n v="170000"/>
    <n v="4"/>
    <x v="1"/>
    <s v="Professional"/>
    <s v="No"/>
    <n v="3"/>
    <s v="5-10 Miles"/>
    <x v="0"/>
    <n v="48"/>
    <x v="1"/>
    <n v="14166.666666666666"/>
    <m/>
  </r>
  <r>
    <n v="29380"/>
    <s v="M"/>
    <s v="F"/>
    <n v="20000"/>
    <n v="3"/>
    <x v="2"/>
    <s v="Manual"/>
    <s v="Yes"/>
    <n v="0"/>
    <s v="0-1 Miles"/>
    <x v="0"/>
    <n v="41"/>
    <x v="1"/>
    <n v="1666.6666666666667"/>
    <m/>
  </r>
  <r>
    <n v="23986"/>
    <s v="M"/>
    <s v="F"/>
    <n v="20000"/>
    <n v="1"/>
    <x v="0"/>
    <s v="Clerical"/>
    <s v="Yes"/>
    <n v="0"/>
    <s v="0-1 Miles"/>
    <x v="0"/>
    <n v="66"/>
    <x v="1"/>
    <n v="1666.6666666666667"/>
    <m/>
  </r>
  <r>
    <n v="24466"/>
    <s v="M"/>
    <s v="F"/>
    <n v="60000"/>
    <n v="1"/>
    <x v="1"/>
    <s v="Skilled Manual"/>
    <s v="Yes"/>
    <n v="1"/>
    <s v="5-10 Miles"/>
    <x v="1"/>
    <n v="46"/>
    <x v="1"/>
    <n v="5000"/>
    <m/>
  </r>
  <r>
    <n v="29097"/>
    <s v="S"/>
    <s v="F"/>
    <n v="40000"/>
    <n v="2"/>
    <x v="1"/>
    <s v="Skilled Manual"/>
    <s v="Yes"/>
    <n v="2"/>
    <s v="5-10 Miles"/>
    <x v="1"/>
    <n v="52"/>
    <x v="1"/>
    <n v="3333.3333333333335"/>
    <m/>
  </r>
  <r>
    <n v="19487"/>
    <s v="M"/>
    <s v="M"/>
    <n v="30000"/>
    <n v="2"/>
    <x v="1"/>
    <s v="Clerical"/>
    <s v="No"/>
    <n v="2"/>
    <s v="0-1 Miles"/>
    <x v="0"/>
    <n v="42"/>
    <x v="0"/>
    <n v="2500"/>
    <m/>
  </r>
  <r>
    <n v="14939"/>
    <s v="S"/>
    <s v="M"/>
    <n v="40000"/>
    <n v="0"/>
    <x v="0"/>
    <s v="Clerical"/>
    <s v="Yes"/>
    <n v="0"/>
    <s v="0-1 Miles"/>
    <x v="0"/>
    <n v="39"/>
    <x v="1"/>
    <n v="3333.3333333333335"/>
    <m/>
  </r>
  <r>
    <n v="13826"/>
    <s v="S"/>
    <s v="F"/>
    <n v="30000"/>
    <n v="0"/>
    <x v="1"/>
    <s v="Clerical"/>
    <s v="No"/>
    <n v="1"/>
    <s v="0-1 Miles"/>
    <x v="0"/>
    <n v="28"/>
    <x v="0"/>
    <n v="2500"/>
    <m/>
  </r>
  <r>
    <n v="20619"/>
    <s v="S"/>
    <s v="M"/>
    <n v="80000"/>
    <n v="0"/>
    <x v="0"/>
    <s v="Professional"/>
    <s v="No"/>
    <n v="4"/>
    <s v="10+ Miles"/>
    <x v="1"/>
    <n v="35"/>
    <x v="0"/>
    <n v="6666.666666666667"/>
    <m/>
  </r>
  <r>
    <n v="12558"/>
    <s v="M"/>
    <s v="F"/>
    <n v="20000"/>
    <n v="1"/>
    <x v="0"/>
    <s v="Clerical"/>
    <s v="Yes"/>
    <n v="0"/>
    <s v="0-1 Miles"/>
    <x v="0"/>
    <n v="65"/>
    <x v="0"/>
    <n v="1666.6666666666667"/>
    <m/>
  </r>
  <r>
    <n v="24871"/>
    <s v="S"/>
    <s v="F"/>
    <n v="90000"/>
    <n v="4"/>
    <x v="2"/>
    <s v="Management"/>
    <s v="No"/>
    <n v="3"/>
    <s v="5-10 Miles"/>
    <x v="0"/>
    <n v="56"/>
    <x v="0"/>
    <n v="7500"/>
    <m/>
  </r>
  <r>
    <n v="17319"/>
    <s v="S"/>
    <s v="F"/>
    <n v="70000"/>
    <n v="0"/>
    <x v="0"/>
    <s v="Professional"/>
    <s v="No"/>
    <n v="1"/>
    <s v="5-10 Miles"/>
    <x v="1"/>
    <n v="42"/>
    <x v="0"/>
    <n v="5833.333333333333"/>
    <m/>
  </r>
  <r>
    <n v="28906"/>
    <s v="M"/>
    <s v="M"/>
    <n v="80000"/>
    <n v="4"/>
    <x v="2"/>
    <s v="Professional"/>
    <s v="Yes"/>
    <n v="2"/>
    <s v="10+ Miles"/>
    <x v="0"/>
    <n v="54"/>
    <x v="0"/>
    <n v="6666.666666666667"/>
    <m/>
  </r>
  <r>
    <n v="12808"/>
    <s v="M"/>
    <s v="M"/>
    <n v="40000"/>
    <n v="0"/>
    <x v="0"/>
    <s v="Clerical"/>
    <s v="Yes"/>
    <n v="0"/>
    <s v="0-1 Miles"/>
    <x v="0"/>
    <n v="38"/>
    <x v="1"/>
    <n v="3333.3333333333335"/>
    <m/>
  </r>
  <r>
    <n v="20567"/>
    <s v="M"/>
    <s v="M"/>
    <n v="130000"/>
    <n v="4"/>
    <x v="1"/>
    <s v="Professional"/>
    <s v="No"/>
    <n v="4"/>
    <s v="5-10 Miles"/>
    <x v="0"/>
    <n v="61"/>
    <x v="1"/>
    <n v="10833.333333333334"/>
    <m/>
  </r>
  <r>
    <n v="25502"/>
    <s v="M"/>
    <s v="F"/>
    <n v="40000"/>
    <n v="1"/>
    <x v="0"/>
    <s v="Skilled Manual"/>
    <s v="Yes"/>
    <n v="0"/>
    <s v="0-1 Miles"/>
    <x v="0"/>
    <n v="43"/>
    <x v="1"/>
    <n v="3333.3333333333335"/>
    <m/>
  </r>
  <r>
    <n v="15580"/>
    <s v="M"/>
    <s v="M"/>
    <n v="60000"/>
    <n v="2"/>
    <x v="0"/>
    <s v="Professional"/>
    <s v="Yes"/>
    <n v="1"/>
    <s v="2-5 Miles"/>
    <x v="1"/>
    <n v="38"/>
    <x v="1"/>
    <n v="5000"/>
    <m/>
  </r>
  <r>
    <n v="24185"/>
    <s v="S"/>
    <s v="F"/>
    <n v="10000"/>
    <n v="1"/>
    <x v="2"/>
    <s v="Manual"/>
    <s v="No"/>
    <n v="1"/>
    <s v="1-2 Miles"/>
    <x v="0"/>
    <n v="45"/>
    <x v="0"/>
    <n v="833.33333333333337"/>
    <m/>
  </r>
  <r>
    <n v="19291"/>
    <s v="S"/>
    <s v="F"/>
    <n v="10000"/>
    <n v="2"/>
    <x v="2"/>
    <s v="Manual"/>
    <s v="Yes"/>
    <n v="0"/>
    <s v="0-1 Miles"/>
    <x v="0"/>
    <n v="35"/>
    <x v="0"/>
    <n v="833.33333333333337"/>
    <m/>
  </r>
  <r>
    <n v="16713"/>
    <s v="M"/>
    <s v="M"/>
    <n v="40000"/>
    <n v="2"/>
    <x v="0"/>
    <s v="Management"/>
    <s v="Yes"/>
    <n v="1"/>
    <s v="0-1 Miles"/>
    <x v="1"/>
    <n v="52"/>
    <x v="1"/>
    <n v="3333.3333333333335"/>
    <m/>
  </r>
  <r>
    <n v="16185"/>
    <s v="S"/>
    <s v="M"/>
    <n v="60000"/>
    <n v="4"/>
    <x v="0"/>
    <s v="Professional"/>
    <s v="Yes"/>
    <n v="3"/>
    <s v="10+ Miles"/>
    <x v="1"/>
    <n v="41"/>
    <x v="0"/>
    <n v="5000"/>
    <m/>
  </r>
  <r>
    <n v="14927"/>
    <s v="M"/>
    <s v="F"/>
    <n v="30000"/>
    <n v="1"/>
    <x v="0"/>
    <s v="Clerical"/>
    <s v="Yes"/>
    <n v="0"/>
    <s v="0-1 Miles"/>
    <x v="0"/>
    <n v="37"/>
    <x v="1"/>
    <n v="2500"/>
    <m/>
  </r>
  <r>
    <n v="29337"/>
    <s v="S"/>
    <s v="M"/>
    <n v="30000"/>
    <n v="2"/>
    <x v="1"/>
    <s v="Clerical"/>
    <s v="Yes"/>
    <n v="2"/>
    <s v="5-10 Miles"/>
    <x v="1"/>
    <n v="68"/>
    <x v="0"/>
    <n v="2500"/>
    <m/>
  </r>
  <r>
    <n v="29355"/>
    <s v="M"/>
    <s v="F"/>
    <n v="40000"/>
    <n v="0"/>
    <x v="4"/>
    <s v="Clerical"/>
    <s v="Yes"/>
    <n v="0"/>
    <s v="0-1 Miles"/>
    <x v="0"/>
    <n v="37"/>
    <x v="1"/>
    <n v="3333.3333333333335"/>
    <m/>
  </r>
  <r>
    <n v="25303"/>
    <s v="S"/>
    <s v="M"/>
    <n v="30000"/>
    <n v="0"/>
    <x v="2"/>
    <s v="Manual"/>
    <s v="Yes"/>
    <n v="1"/>
    <s v="2-5 Miles"/>
    <x v="0"/>
    <n v="33"/>
    <x v="1"/>
    <n v="2500"/>
    <m/>
  </r>
  <r>
    <n v="14813"/>
    <s v="S"/>
    <s v="F"/>
    <n v="20000"/>
    <n v="4"/>
    <x v="2"/>
    <s v="Manual"/>
    <s v="Yes"/>
    <n v="1"/>
    <s v="0-1 Miles"/>
    <x v="0"/>
    <n v="43"/>
    <x v="1"/>
    <n v="1666.6666666666667"/>
    <m/>
  </r>
  <r>
    <n v="16438"/>
    <s v="M"/>
    <s v="F"/>
    <n v="10000"/>
    <n v="0"/>
    <x v="3"/>
    <s v="Manual"/>
    <s v="No"/>
    <n v="2"/>
    <s v="0-1 Miles"/>
    <x v="0"/>
    <n v="30"/>
    <x v="0"/>
    <n v="833.33333333333337"/>
    <m/>
  </r>
  <r>
    <n v="14238"/>
    <s v="M"/>
    <s v="M"/>
    <n v="120000"/>
    <n v="0"/>
    <x v="3"/>
    <s v="Professional"/>
    <s v="Yes"/>
    <n v="4"/>
    <s v="10+ Miles"/>
    <x v="1"/>
    <n v="36"/>
    <x v="1"/>
    <n v="10000"/>
    <m/>
  </r>
  <r>
    <n v="16200"/>
    <s v="S"/>
    <s v="F"/>
    <n v="10000"/>
    <n v="0"/>
    <x v="3"/>
    <s v="Manual"/>
    <s v="No"/>
    <n v="2"/>
    <s v="0-1 Miles"/>
    <x v="0"/>
    <n v="35"/>
    <x v="0"/>
    <n v="833.33333333333337"/>
    <m/>
  </r>
  <r>
    <n v="24857"/>
    <s v="M"/>
    <s v="F"/>
    <n v="130000"/>
    <n v="3"/>
    <x v="2"/>
    <s v="Professional"/>
    <s v="Yes"/>
    <n v="4"/>
    <s v="0-1 Miles"/>
    <x v="0"/>
    <n v="52"/>
    <x v="0"/>
    <n v="10833.333333333334"/>
    <m/>
  </r>
  <r>
    <n v="26956"/>
    <s v="S"/>
    <s v="F"/>
    <n v="20000"/>
    <n v="0"/>
    <x v="1"/>
    <s v="Manual"/>
    <s v="No"/>
    <n v="1"/>
    <s v="2-5 Miles"/>
    <x v="0"/>
    <n v="36"/>
    <x v="1"/>
    <n v="1666.6666666666667"/>
    <m/>
  </r>
  <r>
    <n v="14517"/>
    <s v="M"/>
    <s v="F"/>
    <n v="20000"/>
    <n v="3"/>
    <x v="2"/>
    <s v="Skilled Manual"/>
    <s v="No"/>
    <n v="2"/>
    <s v="1-2 Miles"/>
    <x v="1"/>
    <n v="62"/>
    <x v="0"/>
    <n v="1666.6666666666667"/>
    <m/>
  </r>
  <r>
    <n v="12678"/>
    <s v="S"/>
    <s v="F"/>
    <n v="130000"/>
    <n v="4"/>
    <x v="2"/>
    <s v="Management"/>
    <s v="Yes"/>
    <n v="4"/>
    <s v="0-1 Miles"/>
    <x v="1"/>
    <n v="31"/>
    <x v="0"/>
    <n v="10833.333333333334"/>
    <m/>
  </r>
  <r>
    <n v="16188"/>
    <s v="S"/>
    <s v="F"/>
    <n v="20000"/>
    <n v="0"/>
    <x v="3"/>
    <s v="Manual"/>
    <s v="No"/>
    <n v="2"/>
    <s v="1-2 Miles"/>
    <x v="0"/>
    <n v="26"/>
    <x v="0"/>
    <n v="1666.6666666666667"/>
    <m/>
  </r>
  <r>
    <n v="27969"/>
    <s v="M"/>
    <s v="M"/>
    <n v="80000"/>
    <n v="0"/>
    <x v="0"/>
    <s v="Professional"/>
    <s v="Yes"/>
    <n v="2"/>
    <s v="10+ Miles"/>
    <x v="1"/>
    <n v="29"/>
    <x v="1"/>
    <n v="6666.666666666667"/>
    <m/>
  </r>
  <r>
    <n v="15752"/>
    <s v="M"/>
    <s v="M"/>
    <n v="80000"/>
    <n v="2"/>
    <x v="2"/>
    <s v="Skilled Manual"/>
    <s v="No"/>
    <n v="2"/>
    <s v="1-2 Miles"/>
    <x v="1"/>
    <n v="50"/>
    <x v="1"/>
    <n v="6666.666666666667"/>
    <m/>
  </r>
  <r>
    <n v="27745"/>
    <s v="S"/>
    <s v="M"/>
    <n v="40000"/>
    <n v="2"/>
    <x v="0"/>
    <s v="Management"/>
    <s v="Yes"/>
    <n v="2"/>
    <s v="5-10 Miles"/>
    <x v="1"/>
    <n v="63"/>
    <x v="1"/>
    <n v="3333.3333333333335"/>
    <m/>
  </r>
  <r>
    <n v="20828"/>
    <s v="M"/>
    <s v="F"/>
    <n v="30000"/>
    <n v="4"/>
    <x v="4"/>
    <s v="Clerical"/>
    <s v="Yes"/>
    <n v="0"/>
    <s v="0-1 Miles"/>
    <x v="0"/>
    <n v="45"/>
    <x v="1"/>
    <n v="2500"/>
    <m/>
  </r>
  <r>
    <n v="19461"/>
    <s v="S"/>
    <s v="F"/>
    <n v="10000"/>
    <n v="4"/>
    <x v="3"/>
    <s v="Manual"/>
    <s v="Yes"/>
    <n v="2"/>
    <s v="0-1 Miles"/>
    <x v="0"/>
    <n v="40"/>
    <x v="0"/>
    <n v="833.33333333333337"/>
    <m/>
  </r>
  <r>
    <n v="26941"/>
    <s v="M"/>
    <s v="M"/>
    <n v="30000"/>
    <n v="0"/>
    <x v="0"/>
    <s v="Clerical"/>
    <s v="Yes"/>
    <n v="0"/>
    <s v="0-1 Miles"/>
    <x v="0"/>
    <n v="47"/>
    <x v="1"/>
    <n v="2500"/>
    <m/>
  </r>
  <r>
    <n v="28412"/>
    <s v="S"/>
    <s v="M"/>
    <n v="20000"/>
    <n v="0"/>
    <x v="2"/>
    <s v="Manual"/>
    <s v="No"/>
    <n v="1"/>
    <s v="2-5 Miles"/>
    <x v="0"/>
    <n v="29"/>
    <x v="0"/>
    <n v="1666.6666666666667"/>
    <m/>
  </r>
  <r>
    <n v="24485"/>
    <s v="S"/>
    <s v="M"/>
    <n v="40000"/>
    <n v="2"/>
    <x v="0"/>
    <s v="Management"/>
    <s v="No"/>
    <n v="1"/>
    <s v="5-10 Miles"/>
    <x v="1"/>
    <n v="52"/>
    <x v="1"/>
    <n v="3333.3333333333335"/>
    <m/>
  </r>
  <r>
    <n v="16514"/>
    <s v="S"/>
    <s v="M"/>
    <n v="10000"/>
    <n v="0"/>
    <x v="1"/>
    <s v="Manual"/>
    <s v="Yes"/>
    <n v="1"/>
    <s v="1-2 Miles"/>
    <x v="1"/>
    <n v="26"/>
    <x v="1"/>
    <n v="833.33333333333337"/>
    <m/>
  </r>
  <r>
    <n v="17191"/>
    <s v="S"/>
    <s v="M"/>
    <n v="130000"/>
    <n v="3"/>
    <x v="1"/>
    <s v="Professional"/>
    <s v="No"/>
    <n v="3"/>
    <s v="0-1 Miles"/>
    <x v="0"/>
    <n v="51"/>
    <x v="1"/>
    <n v="10833.333333333334"/>
    <m/>
  </r>
  <r>
    <n v="19608"/>
    <s v="M"/>
    <s v="M"/>
    <n v="80000"/>
    <n v="5"/>
    <x v="0"/>
    <s v="Professional"/>
    <s v="Yes"/>
    <n v="4"/>
    <s v="1-2 Miles"/>
    <x v="1"/>
    <n v="40"/>
    <x v="0"/>
    <n v="6666.666666666667"/>
    <m/>
  </r>
  <r>
    <n v="24119"/>
    <s v="S"/>
    <s v="M"/>
    <n v="30000"/>
    <n v="0"/>
    <x v="1"/>
    <s v="Clerical"/>
    <s v="No"/>
    <n v="1"/>
    <s v="2-5 Miles"/>
    <x v="0"/>
    <n v="29"/>
    <x v="0"/>
    <n v="2500"/>
    <m/>
  </r>
  <r>
    <n v="25458"/>
    <s v="M"/>
    <s v="M"/>
    <n v="20000"/>
    <n v="1"/>
    <x v="2"/>
    <s v="Manual"/>
    <s v="No"/>
    <n v="1"/>
    <s v="1-2 Miles"/>
    <x v="0"/>
    <n v="40"/>
    <x v="1"/>
    <n v="1666.6666666666667"/>
    <m/>
  </r>
  <r>
    <n v="26886"/>
    <s v="S"/>
    <s v="F"/>
    <n v="30000"/>
    <n v="0"/>
    <x v="1"/>
    <s v="Clerical"/>
    <s v="No"/>
    <n v="1"/>
    <s v="0-1 Miles"/>
    <x v="0"/>
    <n v="29"/>
    <x v="1"/>
    <n v="2500"/>
    <m/>
  </r>
  <r>
    <n v="28436"/>
    <s v="S"/>
    <s v="M"/>
    <n v="30000"/>
    <n v="0"/>
    <x v="1"/>
    <s v="Clerical"/>
    <s v="No"/>
    <n v="1"/>
    <s v="0-1 Miles"/>
    <x v="0"/>
    <n v="30"/>
    <x v="1"/>
    <n v="2500"/>
    <m/>
  </r>
  <r>
    <n v="19562"/>
    <s v="S"/>
    <s v="F"/>
    <n v="60000"/>
    <n v="2"/>
    <x v="0"/>
    <s v="Professional"/>
    <s v="Yes"/>
    <n v="1"/>
    <s v="2-5 Miles"/>
    <x v="1"/>
    <n v="37"/>
    <x v="1"/>
    <n v="5000"/>
    <m/>
  </r>
  <r>
    <n v="15608"/>
    <s v="S"/>
    <s v="F"/>
    <n v="30000"/>
    <n v="0"/>
    <x v="1"/>
    <s v="Clerical"/>
    <s v="No"/>
    <n v="1"/>
    <s v="2-5 Miles"/>
    <x v="0"/>
    <n v="33"/>
    <x v="0"/>
    <n v="2500"/>
    <m/>
  </r>
  <r>
    <n v="16487"/>
    <s v="S"/>
    <s v="F"/>
    <n v="30000"/>
    <n v="3"/>
    <x v="2"/>
    <s v="Skilled Manual"/>
    <s v="Yes"/>
    <n v="2"/>
    <s v="5-10 Miles"/>
    <x v="1"/>
    <n v="55"/>
    <x v="0"/>
    <n v="2500"/>
    <m/>
  </r>
  <r>
    <n v="17197"/>
    <s v="S"/>
    <s v="F"/>
    <n v="90000"/>
    <n v="5"/>
    <x v="1"/>
    <s v="Professional"/>
    <s v="Yes"/>
    <n v="2"/>
    <s v="10+ Miles"/>
    <x v="0"/>
    <n v="62"/>
    <x v="0"/>
    <n v="7500"/>
    <m/>
  </r>
  <r>
    <n v="12507"/>
    <s v="M"/>
    <s v="M"/>
    <n v="30000"/>
    <n v="1"/>
    <x v="1"/>
    <s v="Clerical"/>
    <s v="Yes"/>
    <n v="1"/>
    <s v="0-1 Miles"/>
    <x v="0"/>
    <n v="43"/>
    <x v="0"/>
    <n v="2500"/>
    <m/>
  </r>
  <r>
    <n v="23940"/>
    <s v="M"/>
    <s v="M"/>
    <n v="40000"/>
    <n v="1"/>
    <x v="0"/>
    <s v="Skilled Manual"/>
    <s v="Yes"/>
    <n v="1"/>
    <s v="0-1 Miles"/>
    <x v="0"/>
    <n v="44"/>
    <x v="1"/>
    <n v="3333.3333333333335"/>
    <m/>
  </r>
  <r>
    <n v="19441"/>
    <s v="M"/>
    <s v="M"/>
    <n v="40000"/>
    <n v="0"/>
    <x v="4"/>
    <s v="Clerical"/>
    <s v="Yes"/>
    <n v="0"/>
    <s v="0-1 Miles"/>
    <x v="0"/>
    <n v="25"/>
    <x v="1"/>
    <n v="3333.3333333333335"/>
    <m/>
  </r>
  <r>
    <n v="26852"/>
    <s v="M"/>
    <s v="F"/>
    <n v="20000"/>
    <n v="3"/>
    <x v="2"/>
    <s v="Manual"/>
    <s v="Yes"/>
    <n v="2"/>
    <s v="0-1 Miles"/>
    <x v="0"/>
    <n v="43"/>
    <x v="0"/>
    <n v="1666.6666666666667"/>
    <m/>
  </r>
  <r>
    <n v="12274"/>
    <s v="S"/>
    <s v="M"/>
    <n v="10000"/>
    <n v="2"/>
    <x v="2"/>
    <s v="Manual"/>
    <s v="Yes"/>
    <n v="0"/>
    <s v="0-1 Miles"/>
    <x v="0"/>
    <n v="35"/>
    <x v="0"/>
    <n v="833.33333333333337"/>
    <m/>
  </r>
  <r>
    <n v="20236"/>
    <s v="S"/>
    <s v="M"/>
    <n v="60000"/>
    <n v="3"/>
    <x v="0"/>
    <s v="Professional"/>
    <s v="No"/>
    <n v="2"/>
    <s v="0-1 Miles"/>
    <x v="1"/>
    <n v="43"/>
    <x v="1"/>
    <n v="5000"/>
    <m/>
  </r>
  <r>
    <n v="24149"/>
    <s v="M"/>
    <s v="M"/>
    <n v="10000"/>
    <n v="2"/>
    <x v="1"/>
    <s v="Manual"/>
    <s v="Yes"/>
    <n v="0"/>
    <s v="1-2 Miles"/>
    <x v="0"/>
    <n v="49"/>
    <x v="0"/>
    <n v="833.33333333333337"/>
    <m/>
  </r>
  <r>
    <n v="26139"/>
    <s v="S"/>
    <s v="M"/>
    <n v="60000"/>
    <n v="1"/>
    <x v="1"/>
    <s v="Skilled Manual"/>
    <s v="Yes"/>
    <n v="1"/>
    <s v="5-10 Miles"/>
    <x v="1"/>
    <n v="45"/>
    <x v="0"/>
    <n v="5000"/>
    <m/>
  </r>
  <r>
    <n v="18491"/>
    <s v="S"/>
    <s v="F"/>
    <n v="70000"/>
    <n v="2"/>
    <x v="2"/>
    <s v="Professional"/>
    <s v="Yes"/>
    <n v="2"/>
    <s v="5-10 Miles"/>
    <x v="1"/>
    <n v="49"/>
    <x v="1"/>
    <n v="5833.333333333333"/>
    <m/>
  </r>
  <r>
    <n v="22707"/>
    <s v="S"/>
    <s v="F"/>
    <n v="30000"/>
    <n v="0"/>
    <x v="1"/>
    <s v="Clerical"/>
    <s v="No"/>
    <n v="1"/>
    <s v="2-5 Miles"/>
    <x v="0"/>
    <n v="30"/>
    <x v="0"/>
    <n v="2500"/>
    <m/>
  </r>
  <r>
    <n v="20430"/>
    <s v="M"/>
    <s v="M"/>
    <n v="70000"/>
    <n v="2"/>
    <x v="1"/>
    <s v="Skilled Manual"/>
    <s v="Yes"/>
    <n v="2"/>
    <s v="5-10 Miles"/>
    <x v="1"/>
    <n v="52"/>
    <x v="1"/>
    <n v="5833.333333333333"/>
    <m/>
  </r>
  <r>
    <n v="27494"/>
    <s v="S"/>
    <s v="F"/>
    <n v="40000"/>
    <n v="2"/>
    <x v="1"/>
    <s v="Skilled Manual"/>
    <s v="No"/>
    <n v="2"/>
    <s v="1-2 Miles"/>
    <x v="1"/>
    <n v="53"/>
    <x v="1"/>
    <n v="3333.3333333333335"/>
    <m/>
  </r>
  <r>
    <n v="26829"/>
    <s v="M"/>
    <s v="F"/>
    <n v="40000"/>
    <n v="0"/>
    <x v="0"/>
    <s v="Clerical"/>
    <s v="Yes"/>
    <n v="0"/>
    <s v="0-1 Miles"/>
    <x v="0"/>
    <n v="38"/>
    <x v="1"/>
    <n v="3333.3333333333335"/>
    <m/>
  </r>
  <r>
    <n v="28395"/>
    <s v="S"/>
    <s v="M"/>
    <n v="40000"/>
    <n v="0"/>
    <x v="0"/>
    <s v="Professional"/>
    <s v="No"/>
    <n v="0"/>
    <s v="0-1 Miles"/>
    <x v="0"/>
    <n v="39"/>
    <x v="1"/>
    <n v="3333.3333333333335"/>
    <m/>
  </r>
  <r>
    <n v="21006"/>
    <s v="S"/>
    <s v="F"/>
    <n v="30000"/>
    <n v="1"/>
    <x v="1"/>
    <s v="Manual"/>
    <s v="No"/>
    <n v="0"/>
    <s v="0-1 Miles"/>
    <x v="0"/>
    <n v="46"/>
    <x v="1"/>
    <n v="2500"/>
    <m/>
  </r>
  <r>
    <n v="14682"/>
    <s v="S"/>
    <s v="F"/>
    <n v="70000"/>
    <n v="0"/>
    <x v="0"/>
    <s v="Professional"/>
    <s v="No"/>
    <n v="1"/>
    <s v="5-10 Miles"/>
    <x v="1"/>
    <n v="38"/>
    <x v="0"/>
    <n v="5833.333333333333"/>
    <m/>
  </r>
  <r>
    <n v="17650"/>
    <s v="S"/>
    <s v="F"/>
    <n v="40000"/>
    <n v="2"/>
    <x v="1"/>
    <s v="Clerical"/>
    <s v="Yes"/>
    <n v="2"/>
    <s v="1-2 Miles"/>
    <x v="0"/>
    <n v="35"/>
    <x v="0"/>
    <n v="3333.3333333333335"/>
    <m/>
  </r>
  <r>
    <n v="29191"/>
    <s v="S"/>
    <s v="F"/>
    <n v="130000"/>
    <n v="1"/>
    <x v="4"/>
    <s v="Management"/>
    <s v="No"/>
    <n v="1"/>
    <s v="0-1 Miles"/>
    <x v="1"/>
    <n v="36"/>
    <x v="1"/>
    <n v="10833.333333333334"/>
    <m/>
  </r>
  <r>
    <n v="15030"/>
    <s v="M"/>
    <s v="M"/>
    <n v="20000"/>
    <n v="0"/>
    <x v="0"/>
    <s v="Clerical"/>
    <s v="Yes"/>
    <n v="0"/>
    <s v="0-1 Miles"/>
    <x v="1"/>
    <n v="26"/>
    <x v="1"/>
    <n v="1666.6666666666667"/>
    <m/>
  </r>
  <r>
    <n v="24140"/>
    <s v="S"/>
    <s v="M"/>
    <n v="10000"/>
    <n v="0"/>
    <x v="4"/>
    <s v="Manual"/>
    <s v="No"/>
    <n v="0"/>
    <s v="0-1 Miles"/>
    <x v="0"/>
    <n v="30"/>
    <x v="1"/>
    <n v="833.33333333333337"/>
    <m/>
  </r>
  <r>
    <n v="22496"/>
    <s v="M"/>
    <s v="F"/>
    <n v="30000"/>
    <n v="1"/>
    <x v="0"/>
    <s v="Skilled Manual"/>
    <s v="Yes"/>
    <n v="2"/>
    <s v="0-1 Miles"/>
    <x v="0"/>
    <n v="42"/>
    <x v="0"/>
    <n v="2500"/>
    <m/>
  </r>
  <r>
    <n v="24065"/>
    <s v="S"/>
    <s v="F"/>
    <n v="20000"/>
    <n v="0"/>
    <x v="2"/>
    <s v="Manual"/>
    <s v="Yes"/>
    <n v="0"/>
    <s v="0-1 Miles"/>
    <x v="0"/>
    <n v="40"/>
    <x v="1"/>
    <n v="1666.6666666666667"/>
    <m/>
  </r>
  <r>
    <n v="19914"/>
    <s v="M"/>
    <s v="M"/>
    <n v="80000"/>
    <n v="5"/>
    <x v="0"/>
    <s v="Management"/>
    <s v="Yes"/>
    <n v="2"/>
    <s v="2-5 Miles"/>
    <x v="0"/>
    <n v="62"/>
    <x v="0"/>
    <n v="6666.666666666667"/>
    <m/>
  </r>
  <r>
    <n v="12871"/>
    <s v="S"/>
    <s v="F"/>
    <n v="30000"/>
    <n v="0"/>
    <x v="1"/>
    <s v="Clerical"/>
    <s v="No"/>
    <n v="1"/>
    <s v="2-5 Miles"/>
    <x v="0"/>
    <n v="29"/>
    <x v="0"/>
    <n v="2500"/>
    <m/>
  </r>
  <r>
    <n v="22988"/>
    <s v="M"/>
    <s v="F"/>
    <n v="40000"/>
    <n v="2"/>
    <x v="0"/>
    <s v="Management"/>
    <s v="Yes"/>
    <n v="2"/>
    <s v="5-10 Miles"/>
    <x v="1"/>
    <n v="66"/>
    <x v="1"/>
    <n v="3333.3333333333335"/>
    <m/>
  </r>
  <r>
    <n v="15922"/>
    <s v="M"/>
    <s v="M"/>
    <n v="150000"/>
    <n v="2"/>
    <x v="2"/>
    <s v="Professional"/>
    <s v="Yes"/>
    <n v="4"/>
    <s v="0-1 Miles"/>
    <x v="0"/>
    <n v="48"/>
    <x v="0"/>
    <n v="12500"/>
    <m/>
  </r>
  <r>
    <n v="12344"/>
    <s v="S"/>
    <s v="F"/>
    <n v="80000"/>
    <n v="0"/>
    <x v="0"/>
    <s v="Professional"/>
    <s v="No"/>
    <n v="3"/>
    <s v="10+ Miles"/>
    <x v="1"/>
    <n v="31"/>
    <x v="0"/>
    <n v="6666.666666666667"/>
    <m/>
  </r>
  <r>
    <n v="23627"/>
    <s v="S"/>
    <s v="F"/>
    <n v="100000"/>
    <n v="3"/>
    <x v="1"/>
    <s v="Management"/>
    <s v="No"/>
    <n v="4"/>
    <s v="5-10 Miles"/>
    <x v="0"/>
    <n v="56"/>
    <x v="0"/>
    <n v="8333.3333333333339"/>
    <m/>
  </r>
  <r>
    <n v="27775"/>
    <s v="S"/>
    <s v="F"/>
    <n v="40000"/>
    <n v="0"/>
    <x v="0"/>
    <s v="Clerical"/>
    <s v="No"/>
    <n v="0"/>
    <s v="0-1 Miles"/>
    <x v="0"/>
    <n v="38"/>
    <x v="1"/>
    <n v="3333.3333333333335"/>
    <m/>
  </r>
  <r>
    <n v="29301"/>
    <s v="M"/>
    <s v="M"/>
    <n v="80000"/>
    <n v="5"/>
    <x v="0"/>
    <s v="Professional"/>
    <s v="Yes"/>
    <n v="4"/>
    <s v="1-2 Miles"/>
    <x v="1"/>
    <n v="40"/>
    <x v="0"/>
    <n v="6666.666666666667"/>
    <m/>
  </r>
  <r>
    <n v="12716"/>
    <s v="S"/>
    <s v="M"/>
    <n v="30000"/>
    <n v="0"/>
    <x v="1"/>
    <s v="Clerical"/>
    <s v="Yes"/>
    <n v="1"/>
    <s v="2-5 Miles"/>
    <x v="0"/>
    <n v="32"/>
    <x v="0"/>
    <n v="2500"/>
    <m/>
  </r>
  <r>
    <n v="12472"/>
    <s v="M"/>
    <s v="M"/>
    <n v="30000"/>
    <n v="1"/>
    <x v="0"/>
    <s v="Clerical"/>
    <s v="Yes"/>
    <n v="1"/>
    <s v="2-5 Miles"/>
    <x v="0"/>
    <n v="39"/>
    <x v="0"/>
    <n v="2500"/>
    <m/>
  </r>
  <r>
    <n v="20970"/>
    <s v="S"/>
    <s v="M"/>
    <n v="10000"/>
    <n v="2"/>
    <x v="1"/>
    <s v="Manual"/>
    <s v="Yes"/>
    <n v="1"/>
    <s v="0-1 Miles"/>
    <x v="0"/>
    <n v="52"/>
    <x v="1"/>
    <n v="833.33333333333337"/>
    <m/>
  </r>
  <r>
    <n v="26818"/>
    <s v="S"/>
    <s v="M"/>
    <n v="10000"/>
    <n v="3"/>
    <x v="2"/>
    <s v="Manual"/>
    <s v="Yes"/>
    <n v="1"/>
    <s v="0-1 Miles"/>
    <x v="0"/>
    <n v="39"/>
    <x v="1"/>
    <n v="833.33333333333337"/>
    <m/>
  </r>
  <r>
    <n v="12993"/>
    <s v="M"/>
    <s v="M"/>
    <n v="60000"/>
    <n v="2"/>
    <x v="0"/>
    <s v="Professional"/>
    <s v="Yes"/>
    <n v="1"/>
    <s v="2-5 Miles"/>
    <x v="1"/>
    <n v="37"/>
    <x v="0"/>
    <n v="5000"/>
    <m/>
  </r>
  <r>
    <n v="14192"/>
    <s v="M"/>
    <s v="M"/>
    <n v="90000"/>
    <n v="4"/>
    <x v="2"/>
    <s v="Management"/>
    <s v="Yes"/>
    <n v="3"/>
    <s v="5-10 Miles"/>
    <x v="0"/>
    <n v="56"/>
    <x v="1"/>
    <n v="7500"/>
    <m/>
  </r>
  <r>
    <n v="19477"/>
    <s v="M"/>
    <s v="M"/>
    <n v="40000"/>
    <n v="0"/>
    <x v="0"/>
    <s v="Professional"/>
    <s v="Yes"/>
    <n v="0"/>
    <s v="0-1 Miles"/>
    <x v="0"/>
    <n v="40"/>
    <x v="1"/>
    <n v="3333.3333333333335"/>
    <m/>
  </r>
  <r>
    <n v="26796"/>
    <s v="S"/>
    <s v="M"/>
    <n v="40000"/>
    <n v="2"/>
    <x v="0"/>
    <s v="Management"/>
    <s v="Yes"/>
    <n v="2"/>
    <s v="5-10 Miles"/>
    <x v="1"/>
    <n v="65"/>
    <x v="1"/>
    <n v="3333.3333333333335"/>
    <m/>
  </r>
  <r>
    <n v="21094"/>
    <s v="S"/>
    <s v="F"/>
    <n v="30000"/>
    <n v="2"/>
    <x v="1"/>
    <s v="Clerical"/>
    <s v="Yes"/>
    <n v="2"/>
    <s v="0-1 Miles"/>
    <x v="0"/>
    <n v="42"/>
    <x v="0"/>
    <n v="2500"/>
    <m/>
  </r>
  <r>
    <n v="12234"/>
    <s v="M"/>
    <s v="M"/>
    <n v="10000"/>
    <n v="2"/>
    <x v="1"/>
    <s v="Manual"/>
    <s v="Yes"/>
    <n v="1"/>
    <s v="2-5 Miles"/>
    <x v="0"/>
    <n v="52"/>
    <x v="0"/>
    <n v="833.33333333333337"/>
    <m/>
  </r>
  <r>
    <n v="28683"/>
    <s v="S"/>
    <s v="F"/>
    <n v="10000"/>
    <n v="1"/>
    <x v="2"/>
    <s v="Manual"/>
    <s v="No"/>
    <n v="1"/>
    <s v="5-10 Miles"/>
    <x v="0"/>
    <n v="35"/>
    <x v="1"/>
    <n v="833.33333333333337"/>
    <m/>
  </r>
  <r>
    <n v="17994"/>
    <s v="S"/>
    <s v="M"/>
    <n v="20000"/>
    <n v="2"/>
    <x v="2"/>
    <s v="Manual"/>
    <s v="Yes"/>
    <n v="2"/>
    <s v="0-1 Miles"/>
    <x v="0"/>
    <n v="42"/>
    <x v="0"/>
    <n v="1666.6666666666667"/>
    <m/>
  </r>
  <r>
    <n v="24273"/>
    <s v="M"/>
    <s v="F"/>
    <n v="20000"/>
    <n v="2"/>
    <x v="3"/>
    <s v="Clerical"/>
    <s v="Yes"/>
    <n v="2"/>
    <s v="5-10 Miles"/>
    <x v="1"/>
    <n v="55"/>
    <x v="1"/>
    <n v="1666.6666666666667"/>
    <m/>
  </r>
  <r>
    <n v="26547"/>
    <s v="S"/>
    <s v="F"/>
    <n v="30000"/>
    <n v="2"/>
    <x v="1"/>
    <s v="Clerical"/>
    <s v="No"/>
    <n v="2"/>
    <s v="5-10 Miles"/>
    <x v="1"/>
    <n v="60"/>
    <x v="1"/>
    <n v="2500"/>
    <m/>
  </r>
  <r>
    <n v="22500"/>
    <s v="S"/>
    <s v="M"/>
    <n v="40000"/>
    <n v="0"/>
    <x v="0"/>
    <s v="Professional"/>
    <s v="No"/>
    <n v="0"/>
    <s v="0-1 Miles"/>
    <x v="0"/>
    <n v="40"/>
    <x v="1"/>
    <n v="3333.3333333333335"/>
    <m/>
  </r>
  <r>
    <n v="23993"/>
    <s v="S"/>
    <s v="F"/>
    <n v="10000"/>
    <n v="0"/>
    <x v="1"/>
    <s v="Manual"/>
    <s v="No"/>
    <n v="1"/>
    <s v="0-1 Miles"/>
    <x v="1"/>
    <n v="26"/>
    <x v="1"/>
    <n v="833.33333333333337"/>
    <m/>
  </r>
  <r>
    <n v="14832"/>
    <s v="M"/>
    <s v="M"/>
    <n v="40000"/>
    <n v="1"/>
    <x v="0"/>
    <s v="Skilled Manual"/>
    <s v="Yes"/>
    <n v="0"/>
    <s v="0-1 Miles"/>
    <x v="0"/>
    <n v="42"/>
    <x v="1"/>
    <n v="3333.3333333333335"/>
    <m/>
  </r>
  <r>
    <n v="16614"/>
    <s v="M"/>
    <s v="F"/>
    <n v="80000"/>
    <n v="0"/>
    <x v="0"/>
    <s v="Professional"/>
    <s v="Yes"/>
    <n v="3"/>
    <s v="10+ Miles"/>
    <x v="1"/>
    <n v="32"/>
    <x v="0"/>
    <n v="6666.666666666667"/>
    <m/>
  </r>
  <r>
    <n v="20877"/>
    <s v="S"/>
    <s v="M"/>
    <n v="30000"/>
    <n v="1"/>
    <x v="0"/>
    <s v="Clerical"/>
    <s v="Yes"/>
    <n v="0"/>
    <s v="1-2 Miles"/>
    <x v="0"/>
    <n v="37"/>
    <x v="1"/>
    <n v="2500"/>
    <m/>
  </r>
  <r>
    <n v="20729"/>
    <s v="M"/>
    <s v="F"/>
    <n v="40000"/>
    <n v="2"/>
    <x v="1"/>
    <s v="Clerical"/>
    <s v="No"/>
    <n v="1"/>
    <s v="0-1 Miles"/>
    <x v="0"/>
    <n v="34"/>
    <x v="0"/>
    <n v="3333.3333333333335"/>
    <m/>
  </r>
  <r>
    <n v="22464"/>
    <s v="M"/>
    <s v="M"/>
    <n v="40000"/>
    <n v="0"/>
    <x v="4"/>
    <s v="Clerical"/>
    <s v="Yes"/>
    <n v="0"/>
    <s v="0-1 Miles"/>
    <x v="0"/>
    <n v="37"/>
    <x v="1"/>
    <n v="3333.3333333333335"/>
    <m/>
  </r>
  <r>
    <n v="19475"/>
    <s v="M"/>
    <s v="F"/>
    <n v="40000"/>
    <n v="0"/>
    <x v="0"/>
    <s v="Professional"/>
    <s v="No"/>
    <n v="0"/>
    <s v="0-1 Miles"/>
    <x v="0"/>
    <n v="40"/>
    <x v="1"/>
    <n v="3333.3333333333335"/>
    <m/>
  </r>
  <r>
    <n v="19675"/>
    <s v="M"/>
    <s v="M"/>
    <n v="20000"/>
    <n v="4"/>
    <x v="2"/>
    <s v="Skilled Manual"/>
    <s v="Yes"/>
    <n v="2"/>
    <s v="5-10 Miles"/>
    <x v="1"/>
    <n v="60"/>
    <x v="0"/>
    <n v="1666.6666666666667"/>
    <m/>
  </r>
  <r>
    <n v="12728"/>
    <s v="S"/>
    <s v="M"/>
    <n v="30000"/>
    <n v="0"/>
    <x v="1"/>
    <s v="Clerical"/>
    <s v="No"/>
    <n v="1"/>
    <s v="1-2 Miles"/>
    <x v="0"/>
    <n v="27"/>
    <x v="0"/>
    <n v="2500"/>
    <m/>
  </r>
  <r>
    <n v="26154"/>
    <s v="M"/>
    <s v="M"/>
    <n v="60000"/>
    <n v="1"/>
    <x v="1"/>
    <s v="Skilled Manual"/>
    <s v="Yes"/>
    <n v="1"/>
    <s v="5-10 Miles"/>
    <x v="1"/>
    <n v="43"/>
    <x v="1"/>
    <n v="5000"/>
    <m/>
  </r>
  <r>
    <n v="29117"/>
    <s v="S"/>
    <s v="M"/>
    <n v="100000"/>
    <n v="1"/>
    <x v="0"/>
    <s v="Management"/>
    <s v="No"/>
    <n v="3"/>
    <s v="0-1 Miles"/>
    <x v="1"/>
    <n v="48"/>
    <x v="0"/>
    <n v="8333.3333333333339"/>
    <m/>
  </r>
  <r>
    <n v="17845"/>
    <s v="S"/>
    <s v="F"/>
    <n v="20000"/>
    <n v="0"/>
    <x v="3"/>
    <s v="Manual"/>
    <s v="No"/>
    <n v="2"/>
    <s v="1-2 Miles"/>
    <x v="0"/>
    <n v="32"/>
    <x v="0"/>
    <n v="1666.6666666666667"/>
    <m/>
  </r>
  <r>
    <n v="25058"/>
    <s v="M"/>
    <s v="M"/>
    <n v="100000"/>
    <n v="1"/>
    <x v="0"/>
    <s v="Management"/>
    <s v="Yes"/>
    <n v="3"/>
    <s v="2-5 Miles"/>
    <x v="1"/>
    <n v="47"/>
    <x v="0"/>
    <n v="8333.3333333333339"/>
    <m/>
  </r>
  <r>
    <n v="23426"/>
    <s v="S"/>
    <s v="M"/>
    <n v="80000"/>
    <n v="5"/>
    <x v="4"/>
    <s v="Management"/>
    <s v="Yes"/>
    <n v="3"/>
    <s v="0-1 Miles"/>
    <x v="1"/>
    <n v="40"/>
    <x v="0"/>
    <n v="6666.666666666667"/>
    <m/>
  </r>
  <r>
    <n v="14798"/>
    <s v="S"/>
    <s v="F"/>
    <n v="10000"/>
    <n v="4"/>
    <x v="3"/>
    <s v="Manual"/>
    <s v="Yes"/>
    <n v="2"/>
    <s v="0-1 Miles"/>
    <x v="0"/>
    <n v="41"/>
    <x v="1"/>
    <n v="833.33333333333337"/>
    <m/>
  </r>
  <r>
    <n v="12664"/>
    <s v="M"/>
    <s v="F"/>
    <n v="130000"/>
    <n v="5"/>
    <x v="1"/>
    <s v="Professional"/>
    <s v="Yes"/>
    <n v="4"/>
    <s v="0-1 Miles"/>
    <x v="0"/>
    <n v="59"/>
    <x v="0"/>
    <n v="10833.333333333334"/>
    <m/>
  </r>
  <r>
    <n v="23979"/>
    <s v="S"/>
    <s v="M"/>
    <n v="10000"/>
    <n v="2"/>
    <x v="1"/>
    <s v="Manual"/>
    <s v="No"/>
    <n v="0"/>
    <s v="0-1 Miles"/>
    <x v="0"/>
    <n v="50"/>
    <x v="0"/>
    <n v="833.33333333333337"/>
    <m/>
  </r>
  <r>
    <n v="25605"/>
    <s v="S"/>
    <s v="F"/>
    <n v="20000"/>
    <n v="2"/>
    <x v="1"/>
    <s v="Manual"/>
    <s v="No"/>
    <n v="1"/>
    <s v="0-1 Miles"/>
    <x v="0"/>
    <n v="54"/>
    <x v="1"/>
    <n v="1666.6666666666667"/>
    <m/>
  </r>
  <r>
    <n v="20797"/>
    <s v="M"/>
    <s v="F"/>
    <n v="10000"/>
    <n v="1"/>
    <x v="0"/>
    <s v="Manual"/>
    <s v="Yes"/>
    <n v="0"/>
    <s v="0-1 Miles"/>
    <x v="0"/>
    <n v="48"/>
    <x v="0"/>
    <n v="833.33333333333337"/>
    <m/>
  </r>
  <r>
    <n v="21980"/>
    <s v="S"/>
    <s v="F"/>
    <n v="60000"/>
    <n v="1"/>
    <x v="0"/>
    <s v="Professional"/>
    <s v="Yes"/>
    <n v="1"/>
    <s v="5-10 Miles"/>
    <x v="1"/>
    <n v="44"/>
    <x v="1"/>
    <n v="5000"/>
    <m/>
  </r>
  <r>
    <n v="25460"/>
    <s v="M"/>
    <s v="F"/>
    <n v="20000"/>
    <n v="2"/>
    <x v="2"/>
    <s v="Manual"/>
    <s v="Yes"/>
    <n v="0"/>
    <s v="0-1 Miles"/>
    <x v="0"/>
    <n v="40"/>
    <x v="1"/>
    <n v="1666.6666666666667"/>
    <m/>
  </r>
  <r>
    <n v="29181"/>
    <s v="S"/>
    <s v="F"/>
    <n v="60000"/>
    <n v="2"/>
    <x v="0"/>
    <s v="Professional"/>
    <s v="No"/>
    <n v="1"/>
    <s v="0-1 Miles"/>
    <x v="1"/>
    <n v="38"/>
    <x v="1"/>
    <n v="5000"/>
    <m/>
  </r>
  <r>
    <n v="24279"/>
    <s v="S"/>
    <s v="M"/>
    <n v="40000"/>
    <n v="2"/>
    <x v="1"/>
    <s v="Skilled Manual"/>
    <s v="No"/>
    <n v="2"/>
    <s v="1-2 Miles"/>
    <x v="1"/>
    <n v="52"/>
    <x v="0"/>
    <n v="3333.3333333333335"/>
    <m/>
  </r>
  <r>
    <n v="22402"/>
    <s v="M"/>
    <s v="M"/>
    <n v="10000"/>
    <n v="0"/>
    <x v="1"/>
    <s v="Manual"/>
    <s v="Yes"/>
    <n v="1"/>
    <s v="2-5 Miles"/>
    <x v="1"/>
    <n v="25"/>
    <x v="1"/>
    <n v="833.33333333333337"/>
    <m/>
  </r>
  <r>
    <n v="15465"/>
    <s v="M"/>
    <s v="F"/>
    <n v="10000"/>
    <n v="0"/>
    <x v="1"/>
    <s v="Manual"/>
    <s v="No"/>
    <n v="1"/>
    <s v="0-1 Miles"/>
    <x v="1"/>
    <n v="25"/>
    <x v="0"/>
    <n v="833.33333333333337"/>
    <m/>
  </r>
  <r>
    <n v="26757"/>
    <s v="S"/>
    <s v="M"/>
    <n v="90000"/>
    <n v="1"/>
    <x v="0"/>
    <s v="Professional"/>
    <s v="Yes"/>
    <n v="1"/>
    <s v="2-5 Miles"/>
    <x v="1"/>
    <n v="47"/>
    <x v="1"/>
    <n v="7500"/>
    <m/>
  </r>
  <r>
    <n v="14233"/>
    <s v="S"/>
    <s v="M"/>
    <n v="100000"/>
    <n v="0"/>
    <x v="2"/>
    <s v="Management"/>
    <s v="Yes"/>
    <n v="3"/>
    <s v="10+ Miles"/>
    <x v="1"/>
    <n v="35"/>
    <x v="0"/>
    <n v="8333.3333333333339"/>
    <m/>
  </r>
  <r>
    <n v="14058"/>
    <s v="S"/>
    <s v="M"/>
    <n v="70000"/>
    <n v="0"/>
    <x v="0"/>
    <s v="Professional"/>
    <s v="No"/>
    <n v="1"/>
    <s v="5-10 Miles"/>
    <x v="1"/>
    <n v="41"/>
    <x v="1"/>
    <n v="5833.333333333333"/>
    <m/>
  </r>
  <r>
    <n v="12273"/>
    <s v="M"/>
    <s v="M"/>
    <n v="30000"/>
    <n v="1"/>
    <x v="0"/>
    <s v="Clerical"/>
    <s v="Yes"/>
    <n v="0"/>
    <s v="0-1 Miles"/>
    <x v="0"/>
    <n v="47"/>
    <x v="0"/>
    <n v="2500"/>
    <m/>
  </r>
  <r>
    <n v="17203"/>
    <s v="M"/>
    <s v="F"/>
    <n v="130000"/>
    <n v="4"/>
    <x v="1"/>
    <s v="Professional"/>
    <s v="Yes"/>
    <n v="4"/>
    <s v="5-10 Miles"/>
    <x v="0"/>
    <n v="61"/>
    <x v="1"/>
    <n v="10833.333333333334"/>
    <m/>
  </r>
  <r>
    <n v="18144"/>
    <s v="M"/>
    <s v="F"/>
    <n v="80000"/>
    <n v="5"/>
    <x v="0"/>
    <s v="Management"/>
    <s v="Yes"/>
    <n v="2"/>
    <s v="2-5 Miles"/>
    <x v="0"/>
    <n v="61"/>
    <x v="0"/>
    <n v="6666.666666666667"/>
    <m/>
  </r>
  <r>
    <n v="23963"/>
    <s v="M"/>
    <s v="M"/>
    <n v="10000"/>
    <n v="0"/>
    <x v="3"/>
    <s v="Manual"/>
    <s v="No"/>
    <n v="2"/>
    <s v="0-1 Miles"/>
    <x v="0"/>
    <n v="33"/>
    <x v="0"/>
    <n v="833.33333333333337"/>
    <m/>
  </r>
  <r>
    <n v="17907"/>
    <s v="M"/>
    <s v="F"/>
    <n v="10000"/>
    <n v="0"/>
    <x v="1"/>
    <s v="Manual"/>
    <s v="Yes"/>
    <n v="1"/>
    <s v="2-5 Miles"/>
    <x v="1"/>
    <n v="27"/>
    <x v="0"/>
    <n v="833.33333333333337"/>
    <m/>
  </r>
  <r>
    <n v="19442"/>
    <s v="S"/>
    <s v="M"/>
    <n v="50000"/>
    <n v="0"/>
    <x v="4"/>
    <s v="Skilled Manual"/>
    <s v="Yes"/>
    <n v="0"/>
    <s v="0-1 Miles"/>
    <x v="0"/>
    <n v="37"/>
    <x v="1"/>
    <n v="4166.666666666667"/>
    <m/>
  </r>
  <r>
    <n v="17504"/>
    <s v="S"/>
    <s v="F"/>
    <n v="80000"/>
    <n v="2"/>
    <x v="1"/>
    <s v="Skilled Manual"/>
    <s v="Yes"/>
    <n v="2"/>
    <s v="5-10 Miles"/>
    <x v="1"/>
    <n v="52"/>
    <x v="1"/>
    <n v="6666.666666666667"/>
    <m/>
  </r>
  <r>
    <n v="12253"/>
    <s v="S"/>
    <s v="F"/>
    <n v="20000"/>
    <n v="0"/>
    <x v="1"/>
    <s v="Manual"/>
    <s v="Yes"/>
    <n v="0"/>
    <s v="0-1 Miles"/>
    <x v="1"/>
    <n v="29"/>
    <x v="1"/>
    <n v="1666.6666666666667"/>
    <m/>
  </r>
  <r>
    <n v="27304"/>
    <s v="S"/>
    <s v="F"/>
    <n v="110000"/>
    <n v="2"/>
    <x v="1"/>
    <s v="Professional"/>
    <s v="No"/>
    <n v="3"/>
    <s v="5-10 Miles"/>
    <x v="0"/>
    <n v="48"/>
    <x v="0"/>
    <n v="9166.6666666666661"/>
    <m/>
  </r>
  <r>
    <n v="14191"/>
    <s v="M"/>
    <s v="M"/>
    <n v="160000"/>
    <n v="4"/>
    <x v="1"/>
    <s v="Professional"/>
    <s v="No"/>
    <n v="2"/>
    <s v="10+ Miles"/>
    <x v="0"/>
    <n v="55"/>
    <x v="1"/>
    <n v="13333.333333333334"/>
    <m/>
  </r>
  <r>
    <n v="12212"/>
    <s v="M"/>
    <s v="F"/>
    <n v="10000"/>
    <n v="0"/>
    <x v="4"/>
    <s v="Manual"/>
    <s v="Yes"/>
    <n v="0"/>
    <s v="0-1 Miles"/>
    <x v="0"/>
    <n v="37"/>
    <x v="1"/>
    <n v="833.33333333333337"/>
    <m/>
  </r>
  <r>
    <n v="25529"/>
    <s v="S"/>
    <s v="M"/>
    <n v="10000"/>
    <n v="1"/>
    <x v="4"/>
    <s v="Manual"/>
    <s v="Yes"/>
    <n v="0"/>
    <s v="0-1 Miles"/>
    <x v="0"/>
    <n v="44"/>
    <x v="0"/>
    <n v="833.33333333333337"/>
    <m/>
  </r>
  <r>
    <n v="22170"/>
    <s v="M"/>
    <s v="F"/>
    <n v="30000"/>
    <n v="3"/>
    <x v="1"/>
    <s v="Clerical"/>
    <s v="No"/>
    <n v="2"/>
    <s v="1-2 Miles"/>
    <x v="1"/>
    <n v="55"/>
    <x v="1"/>
    <n v="2500"/>
    <m/>
  </r>
  <r>
    <n v="19445"/>
    <s v="M"/>
    <s v="F"/>
    <n v="10000"/>
    <n v="2"/>
    <x v="2"/>
    <s v="Manual"/>
    <s v="No"/>
    <n v="1"/>
    <s v="0-1 Miles"/>
    <x v="0"/>
    <n v="38"/>
    <x v="0"/>
    <n v="833.33333333333337"/>
    <m/>
  </r>
  <r>
    <n v="15265"/>
    <s v="S"/>
    <s v="M"/>
    <n v="40000"/>
    <n v="2"/>
    <x v="0"/>
    <s v="Management"/>
    <s v="Yes"/>
    <n v="2"/>
    <s v="5-10 Miles"/>
    <x v="1"/>
    <n v="66"/>
    <x v="1"/>
    <n v="3333.3333333333335"/>
    <m/>
  </r>
  <r>
    <n v="28918"/>
    <s v="M"/>
    <s v="F"/>
    <n v="130000"/>
    <n v="4"/>
    <x v="2"/>
    <s v="Management"/>
    <s v="No"/>
    <n v="4"/>
    <s v="10+ Miles"/>
    <x v="0"/>
    <n v="58"/>
    <x v="0"/>
    <n v="10833.333333333334"/>
    <m/>
  </r>
  <r>
    <n v="15799"/>
    <s v="M"/>
    <s v="F"/>
    <n v="90000"/>
    <n v="1"/>
    <x v="0"/>
    <s v="Professional"/>
    <s v="Yes"/>
    <n v="1"/>
    <s v="2-5 Miles"/>
    <x v="1"/>
    <n v="47"/>
    <x v="1"/>
    <n v="7500"/>
    <m/>
  </r>
  <r>
    <n v="11047"/>
    <s v="M"/>
    <s v="F"/>
    <n v="30000"/>
    <n v="3"/>
    <x v="2"/>
    <s v="Skilled Manual"/>
    <s v="No"/>
    <n v="2"/>
    <s v="1-2 Miles"/>
    <x v="1"/>
    <n v="56"/>
    <x v="1"/>
    <n v="2500"/>
    <m/>
  </r>
  <r>
    <n v="18151"/>
    <s v="S"/>
    <s v="M"/>
    <n v="80000"/>
    <n v="5"/>
    <x v="1"/>
    <s v="Professional"/>
    <s v="No"/>
    <n v="2"/>
    <s v="10+ Miles"/>
    <x v="0"/>
    <n v="59"/>
    <x v="0"/>
    <n v="6666.666666666667"/>
    <m/>
  </r>
  <r>
    <n v="20606"/>
    <s v="M"/>
    <s v="F"/>
    <n v="70000"/>
    <n v="0"/>
    <x v="0"/>
    <s v="Professional"/>
    <s v="Yes"/>
    <n v="4"/>
    <s v="10+ Miles"/>
    <x v="1"/>
    <n v="32"/>
    <x v="1"/>
    <n v="5833.333333333333"/>
    <m/>
  </r>
  <r>
    <n v="19482"/>
    <s v="M"/>
    <s v="M"/>
    <n v="30000"/>
    <n v="1"/>
    <x v="1"/>
    <s v="Clerical"/>
    <s v="Yes"/>
    <n v="1"/>
    <s v="0-1 Miles"/>
    <x v="0"/>
    <n v="44"/>
    <x v="1"/>
    <n v="2500"/>
    <m/>
  </r>
  <r>
    <n v="16489"/>
    <s v="M"/>
    <s v="M"/>
    <n v="30000"/>
    <n v="3"/>
    <x v="2"/>
    <s v="Skilled Manual"/>
    <s v="Yes"/>
    <n v="2"/>
    <s v="5-10 Miles"/>
    <x v="1"/>
    <n v="55"/>
    <x v="0"/>
    <n v="2500"/>
    <m/>
  </r>
  <r>
    <n v="26944"/>
    <s v="S"/>
    <s v="M"/>
    <n v="90000"/>
    <n v="2"/>
    <x v="2"/>
    <s v="Manual"/>
    <s v="Yes"/>
    <n v="0"/>
    <s v="0-1 Miles"/>
    <x v="0"/>
    <n v="36"/>
    <x v="1"/>
    <n v="7500"/>
    <m/>
  </r>
  <r>
    <n v="15682"/>
    <s v="S"/>
    <s v="F"/>
    <n v="80000"/>
    <n v="5"/>
    <x v="0"/>
    <s v="Management"/>
    <s v="Yes"/>
    <n v="2"/>
    <s v="10+ Miles"/>
    <x v="0"/>
    <n v="62"/>
    <x v="0"/>
    <n v="6666.666666666667"/>
    <m/>
  </r>
  <r>
    <n v="26032"/>
    <s v="M"/>
    <s v="F"/>
    <n v="70000"/>
    <n v="5"/>
    <x v="0"/>
    <s v="Professional"/>
    <s v="Yes"/>
    <n v="4"/>
    <s v="10+ Miles"/>
    <x v="1"/>
    <n v="41"/>
    <x v="0"/>
    <n v="5833.333333333333"/>
    <m/>
  </r>
  <r>
    <n v="17843"/>
    <s v="S"/>
    <s v="F"/>
    <n v="10000"/>
    <n v="0"/>
    <x v="3"/>
    <s v="Manual"/>
    <s v="No"/>
    <n v="2"/>
    <s v="0-1 Miles"/>
    <x v="0"/>
    <n v="32"/>
    <x v="0"/>
    <n v="833.33333333333337"/>
    <m/>
  </r>
  <r>
    <n v="25559"/>
    <s v="S"/>
    <s v="M"/>
    <n v="20000"/>
    <n v="0"/>
    <x v="0"/>
    <s v="Clerical"/>
    <s v="Yes"/>
    <n v="0"/>
    <s v="0-1 Miles"/>
    <x v="1"/>
    <n v="25"/>
    <x v="1"/>
    <n v="1666.6666666666667"/>
    <m/>
  </r>
  <r>
    <n v="16209"/>
    <s v="S"/>
    <s v="F"/>
    <n v="50000"/>
    <n v="0"/>
    <x v="4"/>
    <s v="Skilled Manual"/>
    <s v="Yes"/>
    <n v="0"/>
    <s v="1-2 Miles"/>
    <x v="0"/>
    <n v="36"/>
    <x v="0"/>
    <n v="4166.666666666667"/>
    <m/>
  </r>
  <r>
    <n v="11147"/>
    <s v="M"/>
    <s v="M"/>
    <n v="60000"/>
    <n v="2"/>
    <x v="4"/>
    <s v="Management"/>
    <s v="Yes"/>
    <n v="1"/>
    <s v="0-1 Miles"/>
    <x v="1"/>
    <n v="67"/>
    <x v="1"/>
    <n v="5000"/>
    <m/>
  </r>
  <r>
    <n v="15214"/>
    <s v="S"/>
    <s v="F"/>
    <n v="100000"/>
    <n v="0"/>
    <x v="4"/>
    <s v="Management"/>
    <s v="No"/>
    <n v="1"/>
    <s v="1-2 Miles"/>
    <x v="1"/>
    <n v="39"/>
    <x v="1"/>
    <n v="8333.333333333333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CCEA5-FEEB-4F7E-9A62-88D27AD0E1E0}" name="PivotTable2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2">
  <location ref="A3:B8" firstHeaderRow="1" firstDataRow="1" firstDataCol="1"/>
  <pivotFields count="1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4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Income" fld="3" subtotal="average" baseField="5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25A7F0-5950-4CB6-891B-B8A7899F0394}" name="PivotTable7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5" firstHeaderRow="1" firstDataRow="1" firstDataCol="1"/>
  <pivotFields count="15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</pivotFields>
  <rowFields count="1">
    <field x="12"/>
  </rowFields>
  <rowItems count="2">
    <i>
      <x v="1"/>
    </i>
    <i t="grand">
      <x/>
    </i>
  </rowItems>
  <colItems count="1">
    <i/>
  </colItems>
  <dataFields count="1">
    <dataField name="Count of Purchased Bike" fld="12" subtotal="count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2" type="captionNotEqual" evalOrder="-1" id="1" stringValue1="No">
      <autoFilter ref="A1">
        <filterColumn colId="0">
          <customFilters>
            <customFilter operator="notEqual" val="No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0EE88-CF5F-44A5-B0AE-1EBA1B792380}" name="PivotTable7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" firstHeaderRow="1" firstDataRow="1" firstDataCol="1"/>
  <pivotFields count="15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/>
  </pivotFields>
  <rowFields count="2">
    <field x="12"/>
    <field x="10"/>
  </rowFields>
  <rowItems count="4">
    <i>
      <x v="1"/>
    </i>
    <i r="1">
      <x/>
    </i>
    <i r="1">
      <x v="1"/>
    </i>
    <i t="grand">
      <x/>
    </i>
  </rowItems>
  <colItems count="1">
    <i/>
  </colItems>
  <dataFields count="1">
    <dataField name="Count of Purchased Bike" fld="12" subtotal="count" baseField="0" baseItem="0"/>
  </dataFields>
  <chartFormats count="9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2" count="1" selected="0">
            <x v="1"/>
          </reference>
        </references>
      </pivotArea>
    </chartFormat>
    <chartFormat chart="13" format="8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2" count="1" selected="0">
            <x v="1"/>
          </reference>
        </references>
      </pivotArea>
    </chartFormat>
    <chartFormat chart="6" format="3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2" count="1" selected="0">
            <x v="1"/>
          </reference>
        </references>
      </pivotArea>
    </chartFormat>
    <chartFormat chart="6" format="4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B597F-AD4B-4C31-A0ED-94EC65758F54}" name="PivotTable7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B6" firstHeaderRow="1" firstDataRow="1" firstDataCol="1"/>
  <pivotFields count="15"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Average of Income" fld="3" subtotal="average" baseField="12" baseItem="1" numFmtId="164"/>
  </dataFields>
  <chartFormats count="5">
    <chartFormat chart="1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BCA56-175E-4C80-9BD8-4A5639BF2A84}" name="Table1" displayName="Table1" ref="A1:Q201" totalsRowCount="1" headerRowDxfId="35" dataDxfId="34">
  <autoFilter ref="A1:Q200" xr:uid="{8A8BCA56-175E-4C80-9BD8-4A5639BF2A84}"/>
  <tableColumns count="17">
    <tableColumn id="1" xr3:uid="{9F9DE219-3471-4EA6-B95F-F46082D0F785}" name="ID" dataDxfId="33" totalsRowDxfId="15"/>
    <tableColumn id="2" xr3:uid="{8D1C9258-F01C-4FD0-93E5-883DD87E844E}" name="Marital Status" dataDxfId="32" totalsRowDxfId="14"/>
    <tableColumn id="3" xr3:uid="{B2AFDAE2-80A0-41E0-A3D4-9B30194C9EAC}" name="Gender" dataDxfId="31" totalsRowDxfId="13"/>
    <tableColumn id="4" xr3:uid="{E8EBC147-6518-4835-8C03-BEBF7F19B004}" name="Income" dataDxfId="30" totalsRowDxfId="12"/>
    <tableColumn id="5" xr3:uid="{366F37A2-79A0-41E3-9F06-2F618C225011}" name="Children" dataDxfId="29" totalsRowDxfId="11"/>
    <tableColumn id="6" xr3:uid="{4354117C-68AD-41D1-AF33-F000B69B4CF9}" name="Education" dataDxfId="28" totalsRowDxfId="10"/>
    <tableColumn id="7" xr3:uid="{892893CE-2FEA-4EA0-AD45-A421210EA3A2}" name="Occupation" dataDxfId="27" totalsRowDxfId="9"/>
    <tableColumn id="8" xr3:uid="{E58E6770-CA8F-4423-B78F-8BC30A625C6A}" name="Home Owner" dataDxfId="26" totalsRowDxfId="8"/>
    <tableColumn id="9" xr3:uid="{7272079A-FC82-4BC2-9F57-D7FCEEC26EFE}" name="Cars" dataDxfId="25" totalsRowDxfId="7"/>
    <tableColumn id="10" xr3:uid="{1B5B640E-C801-4024-B210-4737365CDBC0}" name="Commute Distance" dataDxfId="24" totalsRowDxfId="6"/>
    <tableColumn id="11" xr3:uid="{843910DB-DC4F-4BA0-A91B-02D08EC908FA}" name="Region" dataDxfId="23" totalsRowDxfId="5"/>
    <tableColumn id="12" xr3:uid="{7FA20F02-AD0E-4CDC-B108-2C76A7901B00}" name="Age" dataDxfId="22" totalsRowDxfId="4"/>
    <tableColumn id="13" xr3:uid="{1451A9CD-A2E1-4FAF-A9D1-D1E40ECD06B8}" name="Purchased Bike" dataDxfId="21" totalsRowDxfId="3"/>
    <tableColumn id="14" xr3:uid="{98237B0F-FF5C-4CBA-B02F-DCBE29B998E1}" name="Monthly Income" dataDxfId="20" totalsRowDxfId="2">
      <calculatedColumnFormula>D2/12</calculatedColumnFormula>
    </tableColumn>
    <tableColumn id="16" xr3:uid="{90D3F422-468C-4C64-9D65-D610CD4371DF}" name="High Income" dataDxfId="16" totalsRowDxfId="1">
      <calculatedColumnFormula>IF(D2&gt;70000, "High Income", "Less Income")</calculatedColumnFormula>
    </tableColumn>
    <tableColumn id="17" xr3:uid="{6EFB53A7-C66B-41F9-A1E4-02FBBE5BB4EA}" name="Target Customer" dataDxfId="19" totalsRowDxfId="0">
      <calculatedColumnFormula>IF(AND(D2&gt;70000,L2&lt;40), "Yes", "No")</calculatedColumnFormula>
    </tableColumn>
    <tableColumn id="15" xr3:uid="{A82EA011-9A47-427A-9544-0D168CB1D403}" name="Payment 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0563C1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0563C1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workbookViewId="0"/>
  </sheetViews>
  <sheetFormatPr defaultColWidth="14.453125" defaultRowHeight="15" customHeight="1" x14ac:dyDescent="0.35"/>
  <cols>
    <col min="1" max="1" width="119.26953125" customWidth="1"/>
    <col min="2" max="26" width="8.7265625" customWidth="1"/>
  </cols>
  <sheetData>
    <row r="1" spans="1:1" ht="14.25" customHeight="1" x14ac:dyDescent="0.35">
      <c r="A1" s="1" t="s">
        <v>0</v>
      </c>
    </row>
    <row r="2" spans="1:1" ht="14.25" customHeight="1" x14ac:dyDescent="0.35">
      <c r="A2" s="20" t="s">
        <v>83</v>
      </c>
    </row>
    <row r="3" spans="1:1" ht="14.25" customHeight="1" x14ac:dyDescent="0.35">
      <c r="A3" s="1"/>
    </row>
    <row r="4" spans="1:1" ht="14.25" customHeight="1" x14ac:dyDescent="0.35">
      <c r="A4" s="2" t="s">
        <v>1</v>
      </c>
    </row>
    <row r="5" spans="1:1" ht="14.25" customHeight="1" x14ac:dyDescent="0.35">
      <c r="A5" s="1"/>
    </row>
    <row r="6" spans="1:1" ht="14.25" customHeight="1" x14ac:dyDescent="0.35">
      <c r="A6" s="2" t="s">
        <v>2</v>
      </c>
    </row>
    <row r="7" spans="1:1" ht="14.25" customHeight="1" x14ac:dyDescent="0.35">
      <c r="A7" s="14" t="s">
        <v>80</v>
      </c>
    </row>
    <row r="8" spans="1:1" ht="14.25" customHeight="1" x14ac:dyDescent="0.35">
      <c r="A8" s="2" t="s">
        <v>3</v>
      </c>
    </row>
    <row r="9" spans="1:1" ht="14.25" customHeight="1" x14ac:dyDescent="0.35">
      <c r="A9" s="1"/>
    </row>
    <row r="10" spans="1:1" ht="14.25" customHeight="1" x14ac:dyDescent="0.35">
      <c r="A10" s="2" t="s">
        <v>4</v>
      </c>
    </row>
    <row r="11" spans="1:1" ht="14.25" customHeight="1" x14ac:dyDescent="0.35">
      <c r="A11" s="1"/>
    </row>
    <row r="12" spans="1:1" ht="14.25" customHeight="1" x14ac:dyDescent="0.35">
      <c r="A12" s="2" t="s">
        <v>5</v>
      </c>
    </row>
    <row r="13" spans="1:1" ht="14.25" customHeight="1" x14ac:dyDescent="0.35">
      <c r="A13" s="1"/>
    </row>
    <row r="14" spans="1:1" ht="14.25" customHeight="1" x14ac:dyDescent="0.35">
      <c r="A14" s="2" t="s">
        <v>6</v>
      </c>
    </row>
    <row r="15" spans="1:1" ht="14.25" customHeight="1" x14ac:dyDescent="0.35">
      <c r="A15" s="14" t="s">
        <v>61</v>
      </c>
    </row>
    <row r="16" spans="1:1" ht="25.5" customHeight="1" x14ac:dyDescent="0.35">
      <c r="A16" s="2" t="s">
        <v>7</v>
      </c>
    </row>
    <row r="17" spans="1:1" ht="14.25" customHeight="1" x14ac:dyDescent="0.35">
      <c r="A17" s="1"/>
    </row>
    <row r="18" spans="1:1" ht="14.25" customHeight="1" x14ac:dyDescent="0.35">
      <c r="A18" s="2" t="s">
        <v>8</v>
      </c>
    </row>
    <row r="19" spans="1:1" ht="14.25" customHeight="1" x14ac:dyDescent="0.35">
      <c r="A19" s="1"/>
    </row>
    <row r="20" spans="1:1" ht="14.25" customHeight="1" x14ac:dyDescent="0.35">
      <c r="A20" s="2" t="s">
        <v>9</v>
      </c>
    </row>
    <row r="21" spans="1:1" ht="14.25" customHeight="1" x14ac:dyDescent="0.35">
      <c r="A21" s="1"/>
    </row>
    <row r="22" spans="1:1" ht="14.25" customHeight="1" x14ac:dyDescent="0.35">
      <c r="A22" s="2" t="s">
        <v>10</v>
      </c>
    </row>
    <row r="23" spans="1:1" ht="14.25" customHeight="1" x14ac:dyDescent="0.35">
      <c r="A23" s="14" t="s">
        <v>70</v>
      </c>
    </row>
    <row r="24" spans="1:1" ht="14.25" customHeight="1" x14ac:dyDescent="0.35">
      <c r="A24" s="2" t="s">
        <v>11</v>
      </c>
    </row>
    <row r="25" spans="1:1" ht="14.25" customHeight="1" x14ac:dyDescent="0.35">
      <c r="A25" s="14" t="s">
        <v>74</v>
      </c>
    </row>
    <row r="26" spans="1:1" ht="14.25" customHeight="1" x14ac:dyDescent="0.35">
      <c r="A26" s="2" t="s">
        <v>12</v>
      </c>
    </row>
    <row r="27" spans="1:1" ht="14.25" customHeight="1" x14ac:dyDescent="0.35">
      <c r="A27" s="14" t="s">
        <v>75</v>
      </c>
    </row>
    <row r="28" spans="1:1" ht="14.25" customHeight="1" x14ac:dyDescent="0.35">
      <c r="A28" s="2" t="s">
        <v>13</v>
      </c>
    </row>
    <row r="29" spans="1:1" ht="14.25" customHeight="1" x14ac:dyDescent="0.35">
      <c r="A29" s="19" t="s">
        <v>82</v>
      </c>
    </row>
    <row r="30" spans="1:1" ht="14.25" customHeight="1" x14ac:dyDescent="0.35"/>
    <row r="31" spans="1:1" ht="14.25" customHeight="1" x14ac:dyDescent="0.35"/>
    <row r="32" spans="1: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0"/>
  <sheetViews>
    <sheetView workbookViewId="0">
      <selection activeCell="A22" sqref="A22"/>
    </sheetView>
  </sheetViews>
  <sheetFormatPr defaultColWidth="14.453125" defaultRowHeight="15" customHeight="1" x14ac:dyDescent="0.35"/>
  <cols>
    <col min="1" max="1" width="11.81640625" customWidth="1"/>
    <col min="2" max="2" width="14.36328125" customWidth="1"/>
    <col min="3" max="5" width="11.81640625" customWidth="1"/>
    <col min="6" max="6" width="17.26953125" customWidth="1"/>
    <col min="7" max="7" width="12.7265625" customWidth="1"/>
    <col min="8" max="8" width="13.90625" customWidth="1"/>
    <col min="9" max="9" width="11.81640625" customWidth="1"/>
    <col min="10" max="10" width="23.7265625" customWidth="1"/>
    <col min="11" max="12" width="11.81640625" customWidth="1"/>
    <col min="13" max="13" width="15.453125" customWidth="1"/>
    <col min="14" max="16" width="16.453125" customWidth="1"/>
    <col min="17" max="17" width="14.54296875" customWidth="1"/>
    <col min="18" max="20" width="11.81640625" customWidth="1"/>
    <col min="21" max="21" width="13.6328125" bestFit="1" customWidth="1"/>
    <col min="22" max="29" width="11.81640625" customWidth="1"/>
  </cols>
  <sheetData>
    <row r="1" spans="1:20" ht="14.25" customHeight="1" x14ac:dyDescent="0.35">
      <c r="A1" s="8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50</v>
      </c>
      <c r="O1" s="8" t="s">
        <v>56</v>
      </c>
      <c r="P1" s="8" t="s">
        <v>62</v>
      </c>
      <c r="Q1" s="3" t="s">
        <v>27</v>
      </c>
    </row>
    <row r="2" spans="1:20" ht="14.25" customHeight="1" x14ac:dyDescent="0.35">
      <c r="A2" s="4">
        <v>12496</v>
      </c>
      <c r="B2" s="4" t="s">
        <v>28</v>
      </c>
      <c r="C2" s="4" t="s">
        <v>29</v>
      </c>
      <c r="D2" s="5">
        <v>40000</v>
      </c>
      <c r="E2" s="4">
        <v>1</v>
      </c>
      <c r="F2" s="4" t="s">
        <v>30</v>
      </c>
      <c r="G2" s="4" t="s">
        <v>31</v>
      </c>
      <c r="H2" s="4" t="s">
        <v>32</v>
      </c>
      <c r="I2" s="4">
        <v>0</v>
      </c>
      <c r="J2" s="4" t="s">
        <v>33</v>
      </c>
      <c r="K2" s="4" t="s">
        <v>34</v>
      </c>
      <c r="L2" s="4">
        <v>42</v>
      </c>
      <c r="M2" s="4" t="s">
        <v>35</v>
      </c>
      <c r="N2" s="4">
        <f>D2/12</f>
        <v>3333.3333333333335</v>
      </c>
      <c r="O2" s="4" t="str">
        <f t="shared" ref="O2:O33" si="0">IF(D2&gt;70000, "High Income", "Less Income")</f>
        <v>Less Income</v>
      </c>
      <c r="P2" s="4" t="str">
        <f t="shared" ref="P2:P33" si="1">IF(AND(D2&gt;70000,L2&lt;40), "Yes", "No")</f>
        <v>No</v>
      </c>
      <c r="Q2" t="s">
        <v>57</v>
      </c>
      <c r="T2" s="6" t="s">
        <v>51</v>
      </c>
    </row>
    <row r="3" spans="1:20" ht="14.25" customHeight="1" x14ac:dyDescent="0.35">
      <c r="A3" s="4">
        <v>24107</v>
      </c>
      <c r="B3" s="4" t="s">
        <v>28</v>
      </c>
      <c r="C3" s="4" t="s">
        <v>28</v>
      </c>
      <c r="D3" s="5">
        <v>30000</v>
      </c>
      <c r="E3" s="4">
        <v>3</v>
      </c>
      <c r="F3" s="4" t="s">
        <v>36</v>
      </c>
      <c r="G3" s="4" t="s">
        <v>37</v>
      </c>
      <c r="H3" s="4" t="s">
        <v>32</v>
      </c>
      <c r="I3" s="4">
        <v>1</v>
      </c>
      <c r="J3" s="4" t="s">
        <v>33</v>
      </c>
      <c r="K3" s="4" t="s">
        <v>34</v>
      </c>
      <c r="L3" s="4">
        <v>43</v>
      </c>
      <c r="M3" s="4" t="s">
        <v>35</v>
      </c>
      <c r="N3" s="4">
        <f t="shared" ref="N3:N66" si="2">D3/12</f>
        <v>2500</v>
      </c>
      <c r="O3" s="4" t="str">
        <f t="shared" si="0"/>
        <v>Less Income</v>
      </c>
      <c r="P3" s="4" t="str">
        <f t="shared" si="1"/>
        <v>No</v>
      </c>
      <c r="Q3" t="s">
        <v>58</v>
      </c>
      <c r="T3" s="6" t="s">
        <v>52</v>
      </c>
    </row>
    <row r="4" spans="1:20" ht="14.25" customHeight="1" x14ac:dyDescent="0.35">
      <c r="A4" s="4">
        <v>14177</v>
      </c>
      <c r="B4" s="4" t="s">
        <v>28</v>
      </c>
      <c r="C4" s="4" t="s">
        <v>28</v>
      </c>
      <c r="D4" s="5">
        <v>80000</v>
      </c>
      <c r="E4" s="4">
        <v>5</v>
      </c>
      <c r="F4" s="4" t="s">
        <v>36</v>
      </c>
      <c r="G4" s="4" t="s">
        <v>38</v>
      </c>
      <c r="H4" s="4" t="s">
        <v>35</v>
      </c>
      <c r="I4" s="4">
        <v>2</v>
      </c>
      <c r="J4" s="4" t="s">
        <v>39</v>
      </c>
      <c r="K4" s="4" t="s">
        <v>34</v>
      </c>
      <c r="L4" s="4">
        <v>60</v>
      </c>
      <c r="M4" s="4" t="s">
        <v>35</v>
      </c>
      <c r="N4" s="4">
        <f t="shared" si="2"/>
        <v>6666.666666666667</v>
      </c>
      <c r="O4" s="4" t="str">
        <f t="shared" si="0"/>
        <v>High Income</v>
      </c>
      <c r="P4" s="4" t="str">
        <f t="shared" si="1"/>
        <v>No</v>
      </c>
      <c r="Q4" t="s">
        <v>57</v>
      </c>
      <c r="T4" s="7">
        <v>80000</v>
      </c>
    </row>
    <row r="5" spans="1:20" ht="14.25" customHeight="1" x14ac:dyDescent="0.35">
      <c r="A5" s="4">
        <v>24381</v>
      </c>
      <c r="B5" s="4" t="s">
        <v>40</v>
      </c>
      <c r="C5" s="4" t="s">
        <v>28</v>
      </c>
      <c r="D5" s="5">
        <v>70000</v>
      </c>
      <c r="E5" s="4">
        <v>0</v>
      </c>
      <c r="F5" s="4" t="s">
        <v>30</v>
      </c>
      <c r="G5" s="4" t="s">
        <v>38</v>
      </c>
      <c r="H5" s="4" t="s">
        <v>32</v>
      </c>
      <c r="I5" s="4">
        <v>1</v>
      </c>
      <c r="J5" s="4" t="s">
        <v>41</v>
      </c>
      <c r="K5" s="4" t="s">
        <v>42</v>
      </c>
      <c r="L5" s="4">
        <v>41</v>
      </c>
      <c r="M5" s="4" t="s">
        <v>32</v>
      </c>
      <c r="N5" s="4">
        <f t="shared" si="2"/>
        <v>5833.333333333333</v>
      </c>
      <c r="O5" s="4" t="str">
        <f t="shared" si="0"/>
        <v>Less Income</v>
      </c>
      <c r="P5" s="4" t="str">
        <f t="shared" si="1"/>
        <v>No</v>
      </c>
      <c r="Q5" t="s">
        <v>58</v>
      </c>
      <c r="T5" s="6" t="s">
        <v>53</v>
      </c>
    </row>
    <row r="6" spans="1:20" ht="14.25" customHeight="1" x14ac:dyDescent="0.35">
      <c r="A6" s="4">
        <v>25597</v>
      </c>
      <c r="B6" s="4" t="s">
        <v>40</v>
      </c>
      <c r="C6" s="4" t="s">
        <v>28</v>
      </c>
      <c r="D6" s="5">
        <v>30000</v>
      </c>
      <c r="E6" s="4">
        <v>0</v>
      </c>
      <c r="F6" s="4" t="s">
        <v>30</v>
      </c>
      <c r="G6" s="4" t="s">
        <v>37</v>
      </c>
      <c r="H6" s="4" t="s">
        <v>35</v>
      </c>
      <c r="I6" s="4">
        <v>0</v>
      </c>
      <c r="J6" s="4" t="s">
        <v>33</v>
      </c>
      <c r="K6" s="4" t="s">
        <v>34</v>
      </c>
      <c r="L6" s="4">
        <v>36</v>
      </c>
      <c r="M6" s="4" t="s">
        <v>32</v>
      </c>
      <c r="N6" s="4">
        <f t="shared" si="2"/>
        <v>2500</v>
      </c>
      <c r="O6" s="4" t="str">
        <f t="shared" si="0"/>
        <v>Less Income</v>
      </c>
      <c r="P6" s="4" t="str">
        <f t="shared" si="1"/>
        <v>No</v>
      </c>
      <c r="Q6" s="18" t="s">
        <v>57</v>
      </c>
      <c r="T6">
        <v>30</v>
      </c>
    </row>
    <row r="7" spans="1:20" ht="14.25" customHeight="1" x14ac:dyDescent="0.35">
      <c r="A7" s="4">
        <v>13507</v>
      </c>
      <c r="B7" s="4" t="s">
        <v>28</v>
      </c>
      <c r="C7" s="4" t="s">
        <v>29</v>
      </c>
      <c r="D7" s="5">
        <v>10000</v>
      </c>
      <c r="E7" s="4">
        <v>2</v>
      </c>
      <c r="F7" s="4" t="s">
        <v>36</v>
      </c>
      <c r="G7" s="4" t="s">
        <v>43</v>
      </c>
      <c r="H7" s="4" t="s">
        <v>32</v>
      </c>
      <c r="I7" s="4">
        <v>0</v>
      </c>
      <c r="J7" s="4" t="s">
        <v>44</v>
      </c>
      <c r="K7" s="4" t="s">
        <v>34</v>
      </c>
      <c r="L7" s="4">
        <v>50</v>
      </c>
      <c r="M7" s="4" t="s">
        <v>35</v>
      </c>
      <c r="N7" s="4">
        <f t="shared" si="2"/>
        <v>833.33333333333337</v>
      </c>
      <c r="O7" s="4" t="str">
        <f t="shared" si="0"/>
        <v>Less Income</v>
      </c>
      <c r="P7" s="4" t="str">
        <f t="shared" si="1"/>
        <v>No</v>
      </c>
      <c r="T7" s="6" t="s">
        <v>54</v>
      </c>
    </row>
    <row r="8" spans="1:20" ht="14.25" customHeight="1" x14ac:dyDescent="0.35">
      <c r="A8" s="4">
        <v>27974</v>
      </c>
      <c r="B8" s="4" t="s">
        <v>40</v>
      </c>
      <c r="C8" s="4" t="s">
        <v>28</v>
      </c>
      <c r="D8" s="5">
        <v>160000</v>
      </c>
      <c r="E8" s="4">
        <v>2</v>
      </c>
      <c r="F8" s="4" t="s">
        <v>45</v>
      </c>
      <c r="G8" s="4" t="s">
        <v>46</v>
      </c>
      <c r="H8" s="4" t="s">
        <v>32</v>
      </c>
      <c r="I8" s="4">
        <v>4</v>
      </c>
      <c r="J8" s="4" t="s">
        <v>33</v>
      </c>
      <c r="K8" s="4" t="s">
        <v>42</v>
      </c>
      <c r="L8" s="4">
        <v>33</v>
      </c>
      <c r="M8" s="4" t="s">
        <v>32</v>
      </c>
      <c r="N8" s="4">
        <f t="shared" si="2"/>
        <v>13333.333333333334</v>
      </c>
      <c r="O8" s="4" t="str">
        <f t="shared" si="0"/>
        <v>High Income</v>
      </c>
      <c r="P8" s="4" t="str">
        <f t="shared" si="1"/>
        <v>Yes</v>
      </c>
      <c r="T8" s="6" t="s">
        <v>35</v>
      </c>
    </row>
    <row r="9" spans="1:20" ht="14.25" customHeight="1" x14ac:dyDescent="0.35">
      <c r="A9" s="4">
        <v>19364</v>
      </c>
      <c r="B9" s="4" t="s">
        <v>28</v>
      </c>
      <c r="C9" s="4" t="s">
        <v>28</v>
      </c>
      <c r="D9" s="5">
        <v>40000</v>
      </c>
      <c r="E9" s="4">
        <v>1</v>
      </c>
      <c r="F9" s="4" t="s">
        <v>30</v>
      </c>
      <c r="G9" s="4" t="s">
        <v>31</v>
      </c>
      <c r="H9" s="4" t="s">
        <v>32</v>
      </c>
      <c r="I9" s="4">
        <v>0</v>
      </c>
      <c r="J9" s="4" t="s">
        <v>33</v>
      </c>
      <c r="K9" s="4" t="s">
        <v>34</v>
      </c>
      <c r="L9" s="4">
        <v>43</v>
      </c>
      <c r="M9" s="4" t="s">
        <v>32</v>
      </c>
      <c r="N9" s="4">
        <f t="shared" si="2"/>
        <v>3333.3333333333335</v>
      </c>
      <c r="O9" s="4" t="str">
        <f t="shared" si="0"/>
        <v>Less Income</v>
      </c>
      <c r="P9" s="4" t="str">
        <f t="shared" si="1"/>
        <v>No</v>
      </c>
    </row>
    <row r="10" spans="1:20" ht="14.25" customHeight="1" x14ac:dyDescent="0.35">
      <c r="A10" s="4">
        <v>22155</v>
      </c>
      <c r="B10" s="4" t="s">
        <v>28</v>
      </c>
      <c r="C10" s="4" t="s">
        <v>28</v>
      </c>
      <c r="D10" s="5">
        <v>20000</v>
      </c>
      <c r="E10" s="4">
        <v>2</v>
      </c>
      <c r="F10" s="4" t="s">
        <v>47</v>
      </c>
      <c r="G10" s="4" t="s">
        <v>37</v>
      </c>
      <c r="H10" s="4" t="s">
        <v>32</v>
      </c>
      <c r="I10" s="4">
        <v>2</v>
      </c>
      <c r="J10" s="4" t="s">
        <v>41</v>
      </c>
      <c r="K10" s="4" t="s">
        <v>42</v>
      </c>
      <c r="L10" s="4">
        <v>58</v>
      </c>
      <c r="M10" s="4" t="s">
        <v>35</v>
      </c>
      <c r="N10" s="4">
        <f t="shared" si="2"/>
        <v>1666.6666666666667</v>
      </c>
      <c r="O10" s="4" t="str">
        <f t="shared" si="0"/>
        <v>Less Income</v>
      </c>
      <c r="P10" s="4" t="str">
        <f t="shared" si="1"/>
        <v>No</v>
      </c>
      <c r="S10" s="6"/>
    </row>
    <row r="11" spans="1:20" ht="14.25" customHeight="1" x14ac:dyDescent="0.35">
      <c r="A11" s="4">
        <v>19280</v>
      </c>
      <c r="B11" s="4" t="s">
        <v>28</v>
      </c>
      <c r="C11" s="4" t="s">
        <v>28</v>
      </c>
      <c r="D11" s="5">
        <v>120000</v>
      </c>
      <c r="E11" s="4">
        <v>2</v>
      </c>
      <c r="F11" s="4" t="s">
        <v>36</v>
      </c>
      <c r="G11" s="4" t="s">
        <v>43</v>
      </c>
      <c r="H11" s="4" t="s">
        <v>32</v>
      </c>
      <c r="I11" s="4">
        <v>1</v>
      </c>
      <c r="J11" s="4" t="s">
        <v>33</v>
      </c>
      <c r="K11" s="4" t="s">
        <v>34</v>
      </c>
      <c r="L11" s="4">
        <v>40</v>
      </c>
      <c r="M11" s="4" t="s">
        <v>32</v>
      </c>
      <c r="N11" s="4">
        <f t="shared" si="2"/>
        <v>10000</v>
      </c>
      <c r="O11" s="4" t="str">
        <f t="shared" si="0"/>
        <v>High Income</v>
      </c>
      <c r="P11" s="4" t="str">
        <f t="shared" si="1"/>
        <v>No</v>
      </c>
      <c r="S11" s="6" t="s">
        <v>60</v>
      </c>
      <c r="T11" s="6" t="s">
        <v>59</v>
      </c>
    </row>
    <row r="12" spans="1:20" ht="14.25" customHeight="1" x14ac:dyDescent="0.35">
      <c r="A12" s="4">
        <v>22173</v>
      </c>
      <c r="B12" s="4" t="s">
        <v>28</v>
      </c>
      <c r="C12" s="4" t="s">
        <v>29</v>
      </c>
      <c r="D12" s="5">
        <v>30000</v>
      </c>
      <c r="E12" s="4">
        <v>3</v>
      </c>
      <c r="F12" s="4" t="s">
        <v>45</v>
      </c>
      <c r="G12" s="4" t="s">
        <v>31</v>
      </c>
      <c r="H12" s="4" t="s">
        <v>35</v>
      </c>
      <c r="I12" s="4">
        <v>2</v>
      </c>
      <c r="J12" s="4" t="s">
        <v>44</v>
      </c>
      <c r="K12" s="4" t="s">
        <v>42</v>
      </c>
      <c r="L12" s="4">
        <v>54</v>
      </c>
      <c r="M12" s="4" t="s">
        <v>32</v>
      </c>
      <c r="N12" s="4">
        <f t="shared" si="2"/>
        <v>2500</v>
      </c>
      <c r="O12" s="4" t="str">
        <f t="shared" si="0"/>
        <v>Less Income</v>
      </c>
      <c r="P12" s="4" t="str">
        <f t="shared" si="1"/>
        <v>No</v>
      </c>
      <c r="T12">
        <f>COUNTIFS(K2:K200, "Europe",I2:I200, "&gt;=2")</f>
        <v>39</v>
      </c>
    </row>
    <row r="13" spans="1:20" ht="14.25" customHeight="1" x14ac:dyDescent="0.35">
      <c r="A13" s="4">
        <v>12697</v>
      </c>
      <c r="B13" s="4" t="s">
        <v>40</v>
      </c>
      <c r="C13" s="4" t="s">
        <v>29</v>
      </c>
      <c r="D13" s="5">
        <v>90000</v>
      </c>
      <c r="E13" s="4">
        <v>0</v>
      </c>
      <c r="F13" s="4" t="s">
        <v>30</v>
      </c>
      <c r="G13" s="4" t="s">
        <v>38</v>
      </c>
      <c r="H13" s="4" t="s">
        <v>35</v>
      </c>
      <c r="I13" s="4">
        <v>4</v>
      </c>
      <c r="J13" s="4" t="s">
        <v>48</v>
      </c>
      <c r="K13" s="4" t="s">
        <v>42</v>
      </c>
      <c r="L13" s="4">
        <v>36</v>
      </c>
      <c r="M13" s="4" t="s">
        <v>35</v>
      </c>
      <c r="N13" s="4">
        <f t="shared" si="2"/>
        <v>7500</v>
      </c>
      <c r="O13" s="4" t="str">
        <f t="shared" si="0"/>
        <v>High Income</v>
      </c>
      <c r="P13" s="4" t="str">
        <f t="shared" si="1"/>
        <v>Yes</v>
      </c>
    </row>
    <row r="14" spans="1:20" ht="14.25" customHeight="1" x14ac:dyDescent="0.35">
      <c r="A14" s="4">
        <v>11434</v>
      </c>
      <c r="B14" s="4" t="s">
        <v>28</v>
      </c>
      <c r="C14" s="4" t="s">
        <v>28</v>
      </c>
      <c r="D14" s="5">
        <v>170000</v>
      </c>
      <c r="E14" s="4">
        <v>5</v>
      </c>
      <c r="F14" s="4" t="s">
        <v>36</v>
      </c>
      <c r="G14" s="4" t="s">
        <v>38</v>
      </c>
      <c r="H14" s="4" t="s">
        <v>32</v>
      </c>
      <c r="I14" s="4">
        <v>0</v>
      </c>
      <c r="J14" s="4" t="s">
        <v>33</v>
      </c>
      <c r="K14" s="4" t="s">
        <v>34</v>
      </c>
      <c r="L14" s="4">
        <v>55</v>
      </c>
      <c r="M14" s="4" t="s">
        <v>35</v>
      </c>
      <c r="N14" s="4">
        <f t="shared" si="2"/>
        <v>14166.666666666666</v>
      </c>
      <c r="O14" s="4" t="str">
        <f t="shared" si="0"/>
        <v>High Income</v>
      </c>
      <c r="P14" s="4" t="str">
        <f t="shared" si="1"/>
        <v>No</v>
      </c>
      <c r="S14" s="6" t="s">
        <v>66</v>
      </c>
    </row>
    <row r="15" spans="1:20" ht="14.25" customHeight="1" x14ac:dyDescent="0.35">
      <c r="A15" s="4">
        <v>25323</v>
      </c>
      <c r="B15" s="4" t="s">
        <v>28</v>
      </c>
      <c r="C15" s="4" t="s">
        <v>28</v>
      </c>
      <c r="D15" s="5">
        <v>40000</v>
      </c>
      <c r="E15" s="4">
        <v>2</v>
      </c>
      <c r="F15" s="4" t="s">
        <v>36</v>
      </c>
      <c r="G15" s="4" t="s">
        <v>37</v>
      </c>
      <c r="H15" s="4" t="s">
        <v>32</v>
      </c>
      <c r="I15" s="4">
        <v>1</v>
      </c>
      <c r="J15" s="4" t="s">
        <v>44</v>
      </c>
      <c r="K15" s="4" t="s">
        <v>34</v>
      </c>
      <c r="L15" s="4">
        <v>35</v>
      </c>
      <c r="M15" s="4" t="s">
        <v>32</v>
      </c>
      <c r="N15" s="4">
        <f t="shared" si="2"/>
        <v>3333.3333333333335</v>
      </c>
      <c r="O15" s="4" t="str">
        <f t="shared" si="0"/>
        <v>Less Income</v>
      </c>
      <c r="P15" s="4" t="str">
        <f t="shared" si="1"/>
        <v>No</v>
      </c>
      <c r="S15" s="6" t="s">
        <v>67</v>
      </c>
      <c r="T15">
        <f>COUNTIF(C2:C200, "=M")</f>
        <v>99</v>
      </c>
    </row>
    <row r="16" spans="1:20" ht="14.25" customHeight="1" x14ac:dyDescent="0.35">
      <c r="A16" s="4">
        <v>23542</v>
      </c>
      <c r="B16" s="4" t="s">
        <v>40</v>
      </c>
      <c r="C16" s="4" t="s">
        <v>28</v>
      </c>
      <c r="D16" s="5">
        <v>60000</v>
      </c>
      <c r="E16" s="4">
        <v>1</v>
      </c>
      <c r="F16" s="4" t="s">
        <v>36</v>
      </c>
      <c r="G16" s="4" t="s">
        <v>31</v>
      </c>
      <c r="H16" s="4" t="s">
        <v>35</v>
      </c>
      <c r="I16" s="4">
        <v>1</v>
      </c>
      <c r="J16" s="4" t="s">
        <v>33</v>
      </c>
      <c r="K16" s="4" t="s">
        <v>42</v>
      </c>
      <c r="L16" s="4">
        <v>45</v>
      </c>
      <c r="M16" s="4" t="s">
        <v>32</v>
      </c>
      <c r="N16" s="4">
        <f t="shared" si="2"/>
        <v>5000</v>
      </c>
      <c r="O16" s="4" t="str">
        <f t="shared" si="0"/>
        <v>Less Income</v>
      </c>
      <c r="P16" s="4" t="str">
        <f t="shared" si="1"/>
        <v>No</v>
      </c>
      <c r="S16" s="6" t="s">
        <v>68</v>
      </c>
      <c r="T16">
        <f>COUNTIF(C2:C200, "=F")</f>
        <v>100</v>
      </c>
    </row>
    <row r="17" spans="1:35" ht="14.25" customHeight="1" x14ac:dyDescent="0.35">
      <c r="A17" s="4">
        <v>20870</v>
      </c>
      <c r="B17" s="4" t="s">
        <v>40</v>
      </c>
      <c r="C17" s="4" t="s">
        <v>29</v>
      </c>
      <c r="D17" s="5">
        <v>10000</v>
      </c>
      <c r="E17" s="4">
        <v>2</v>
      </c>
      <c r="F17" s="4" t="s">
        <v>45</v>
      </c>
      <c r="G17" s="4" t="s">
        <v>43</v>
      </c>
      <c r="H17" s="4" t="s">
        <v>32</v>
      </c>
      <c r="I17" s="4">
        <v>1</v>
      </c>
      <c r="J17" s="4" t="s">
        <v>33</v>
      </c>
      <c r="K17" s="4" t="s">
        <v>34</v>
      </c>
      <c r="L17" s="4">
        <v>38</v>
      </c>
      <c r="M17" s="4" t="s">
        <v>32</v>
      </c>
      <c r="N17" s="4">
        <f t="shared" si="2"/>
        <v>833.33333333333337</v>
      </c>
      <c r="O17" s="4" t="str">
        <f t="shared" si="0"/>
        <v>Less Income</v>
      </c>
      <c r="P17" s="4" t="str">
        <f t="shared" si="1"/>
        <v>No</v>
      </c>
    </row>
    <row r="18" spans="1:35" ht="14.25" customHeight="1" x14ac:dyDescent="0.35">
      <c r="A18" s="4">
        <v>23316</v>
      </c>
      <c r="B18" s="4" t="s">
        <v>40</v>
      </c>
      <c r="C18" s="4" t="s">
        <v>28</v>
      </c>
      <c r="D18" s="5">
        <v>30000</v>
      </c>
      <c r="E18" s="4">
        <v>3</v>
      </c>
      <c r="F18" s="4" t="s">
        <v>36</v>
      </c>
      <c r="G18" s="4" t="s">
        <v>37</v>
      </c>
      <c r="H18" s="4" t="s">
        <v>35</v>
      </c>
      <c r="I18" s="4">
        <v>2</v>
      </c>
      <c r="J18" s="4" t="s">
        <v>44</v>
      </c>
      <c r="K18" s="4" t="s">
        <v>42</v>
      </c>
      <c r="L18" s="4">
        <v>59</v>
      </c>
      <c r="M18" s="4" t="s">
        <v>32</v>
      </c>
      <c r="N18" s="4">
        <f t="shared" si="2"/>
        <v>2500</v>
      </c>
      <c r="O18" s="4" t="str">
        <f t="shared" si="0"/>
        <v>Less Income</v>
      </c>
      <c r="P18" s="4" t="str">
        <f t="shared" si="1"/>
        <v>No</v>
      </c>
      <c r="S18" s="6" t="s">
        <v>69</v>
      </c>
      <c r="V18">
        <v>15214</v>
      </c>
    </row>
    <row r="19" spans="1:35" ht="14.25" customHeight="1" x14ac:dyDescent="0.35">
      <c r="A19" s="4">
        <v>12610</v>
      </c>
      <c r="B19" s="4" t="s">
        <v>28</v>
      </c>
      <c r="C19" s="4" t="s">
        <v>29</v>
      </c>
      <c r="D19" s="5">
        <v>30000</v>
      </c>
      <c r="E19" s="4">
        <v>1</v>
      </c>
      <c r="F19" s="4" t="s">
        <v>30</v>
      </c>
      <c r="G19" s="4" t="s">
        <v>37</v>
      </c>
      <c r="H19" s="4" t="s">
        <v>32</v>
      </c>
      <c r="I19" s="4">
        <v>0</v>
      </c>
      <c r="J19" s="4" t="s">
        <v>33</v>
      </c>
      <c r="K19" s="4" t="s">
        <v>34</v>
      </c>
      <c r="L19" s="4">
        <v>47</v>
      </c>
      <c r="M19" s="4" t="s">
        <v>35</v>
      </c>
      <c r="N19" s="4">
        <f t="shared" si="2"/>
        <v>2500</v>
      </c>
      <c r="O19" s="4" t="str">
        <f t="shared" si="0"/>
        <v>Less Income</v>
      </c>
      <c r="P19" s="4" t="str">
        <f t="shared" si="1"/>
        <v>No</v>
      </c>
      <c r="T19" s="18" t="s">
        <v>81</v>
      </c>
      <c r="U19">
        <f>INDEX(D2:D200, MATCH($V$18, A2:A200, 0))</f>
        <v>100000</v>
      </c>
    </row>
    <row r="20" spans="1:35" ht="14.25" customHeight="1" x14ac:dyDescent="0.35">
      <c r="A20" s="4">
        <v>27183</v>
      </c>
      <c r="B20" s="4" t="s">
        <v>40</v>
      </c>
      <c r="C20" s="4" t="s">
        <v>28</v>
      </c>
      <c r="D20" s="5">
        <v>40000</v>
      </c>
      <c r="E20" s="4">
        <v>2</v>
      </c>
      <c r="F20" s="4" t="s">
        <v>36</v>
      </c>
      <c r="G20" s="4" t="s">
        <v>37</v>
      </c>
      <c r="H20" s="4" t="s">
        <v>32</v>
      </c>
      <c r="I20" s="4">
        <v>1</v>
      </c>
      <c r="J20" s="4" t="s">
        <v>44</v>
      </c>
      <c r="K20" s="4" t="s">
        <v>34</v>
      </c>
      <c r="L20" s="4">
        <v>35</v>
      </c>
      <c r="M20" s="4" t="s">
        <v>32</v>
      </c>
      <c r="N20" s="4">
        <f t="shared" si="2"/>
        <v>3333.3333333333335</v>
      </c>
      <c r="O20" s="4" t="str">
        <f t="shared" si="0"/>
        <v>Less Income</v>
      </c>
      <c r="P20" s="4" t="str">
        <f t="shared" si="1"/>
        <v>No</v>
      </c>
    </row>
    <row r="21" spans="1:35" ht="14.25" customHeight="1" x14ac:dyDescent="0.35">
      <c r="A21" s="4">
        <v>25940</v>
      </c>
      <c r="B21" s="4" t="s">
        <v>40</v>
      </c>
      <c r="C21" s="4" t="s">
        <v>28</v>
      </c>
      <c r="D21" s="5">
        <v>20000</v>
      </c>
      <c r="E21" s="4">
        <v>2</v>
      </c>
      <c r="F21" s="4" t="s">
        <v>47</v>
      </c>
      <c r="G21" s="4" t="s">
        <v>37</v>
      </c>
      <c r="H21" s="4" t="s">
        <v>32</v>
      </c>
      <c r="I21" s="4">
        <v>2</v>
      </c>
      <c r="J21" s="4" t="s">
        <v>41</v>
      </c>
      <c r="K21" s="4" t="s">
        <v>42</v>
      </c>
      <c r="L21" s="4">
        <v>55</v>
      </c>
      <c r="M21" s="4" t="s">
        <v>32</v>
      </c>
      <c r="N21" s="4">
        <f t="shared" si="2"/>
        <v>1666.6666666666667</v>
      </c>
      <c r="O21" s="4" t="str">
        <f t="shared" si="0"/>
        <v>Less Income</v>
      </c>
      <c r="P21" s="4" t="str">
        <f t="shared" si="1"/>
        <v>No</v>
      </c>
      <c r="S21" t="s">
        <v>71</v>
      </c>
    </row>
    <row r="22" spans="1:35" ht="14.25" customHeight="1" x14ac:dyDescent="0.35">
      <c r="A22" s="4">
        <v>25598</v>
      </c>
      <c r="B22" s="4" t="s">
        <v>28</v>
      </c>
      <c r="C22" s="4" t="s">
        <v>29</v>
      </c>
      <c r="D22" s="5">
        <v>40000</v>
      </c>
      <c r="E22" s="4">
        <v>0</v>
      </c>
      <c r="F22" s="4" t="s">
        <v>49</v>
      </c>
      <c r="G22" s="4" t="s">
        <v>37</v>
      </c>
      <c r="H22" s="4" t="s">
        <v>32</v>
      </c>
      <c r="I22" s="4">
        <v>0</v>
      </c>
      <c r="J22" s="4" t="s">
        <v>33</v>
      </c>
      <c r="K22" s="4" t="s">
        <v>34</v>
      </c>
      <c r="L22" s="4">
        <v>36</v>
      </c>
      <c r="M22" s="4" t="s">
        <v>32</v>
      </c>
      <c r="N22" s="4">
        <f t="shared" si="2"/>
        <v>3333.3333333333335</v>
      </c>
      <c r="O22" s="4" t="str">
        <f t="shared" si="0"/>
        <v>Less Income</v>
      </c>
      <c r="P22" s="4" t="str">
        <f t="shared" si="1"/>
        <v>No</v>
      </c>
      <c r="S22" s="13" t="s">
        <v>25</v>
      </c>
      <c r="T22" s="13" t="s">
        <v>17</v>
      </c>
      <c r="U22" s="13" t="s">
        <v>26</v>
      </c>
    </row>
    <row r="23" spans="1:35" ht="14.25" customHeight="1" x14ac:dyDescent="0.35">
      <c r="A23" s="4">
        <v>21564</v>
      </c>
      <c r="B23" s="4" t="s">
        <v>40</v>
      </c>
      <c r="C23" s="4" t="s">
        <v>29</v>
      </c>
      <c r="D23" s="5">
        <v>80000</v>
      </c>
      <c r="E23" s="4">
        <v>0</v>
      </c>
      <c r="F23" s="4" t="s">
        <v>30</v>
      </c>
      <c r="G23" s="4" t="s">
        <v>38</v>
      </c>
      <c r="H23" s="4" t="s">
        <v>32</v>
      </c>
      <c r="I23" s="4">
        <v>4</v>
      </c>
      <c r="J23" s="4" t="s">
        <v>48</v>
      </c>
      <c r="K23" s="4" t="s">
        <v>42</v>
      </c>
      <c r="L23" s="4">
        <v>35</v>
      </c>
      <c r="M23" s="4" t="s">
        <v>35</v>
      </c>
      <c r="N23" s="4">
        <f t="shared" si="2"/>
        <v>6666.666666666667</v>
      </c>
      <c r="O23" s="4" t="str">
        <f t="shared" si="0"/>
        <v>High Income</v>
      </c>
      <c r="P23" s="4" t="str">
        <f t="shared" si="1"/>
        <v>Yes</v>
      </c>
      <c r="S23" t="s">
        <v>72</v>
      </c>
      <c r="T23" t="s">
        <v>73</v>
      </c>
      <c r="U23" t="s">
        <v>35</v>
      </c>
    </row>
    <row r="24" spans="1:35" ht="14.25" customHeight="1" x14ac:dyDescent="0.35">
      <c r="A24" s="4">
        <v>19193</v>
      </c>
      <c r="B24" s="4" t="s">
        <v>40</v>
      </c>
      <c r="C24" s="4" t="s">
        <v>28</v>
      </c>
      <c r="D24" s="5">
        <v>40000</v>
      </c>
      <c r="E24" s="4">
        <v>2</v>
      </c>
      <c r="F24" s="4" t="s">
        <v>36</v>
      </c>
      <c r="G24" s="4" t="s">
        <v>37</v>
      </c>
      <c r="H24" s="4" t="s">
        <v>32</v>
      </c>
      <c r="I24" s="4">
        <v>0</v>
      </c>
      <c r="J24" s="4" t="s">
        <v>44</v>
      </c>
      <c r="K24" s="4" t="s">
        <v>34</v>
      </c>
      <c r="L24" s="4">
        <v>35</v>
      </c>
      <c r="M24" s="4" t="s">
        <v>32</v>
      </c>
      <c r="N24" s="4">
        <f t="shared" si="2"/>
        <v>3333.3333333333335</v>
      </c>
      <c r="O24" s="4" t="str">
        <f t="shared" si="0"/>
        <v>Less Income</v>
      </c>
      <c r="P24" s="4" t="str">
        <f t="shared" si="1"/>
        <v>No</v>
      </c>
    </row>
    <row r="25" spans="1:35" ht="14.25" customHeight="1" x14ac:dyDescent="0.35">
      <c r="A25" s="4">
        <v>26412</v>
      </c>
      <c r="B25" s="4" t="s">
        <v>28</v>
      </c>
      <c r="C25" s="4" t="s">
        <v>29</v>
      </c>
      <c r="D25" s="5">
        <v>80000</v>
      </c>
      <c r="E25" s="4">
        <v>5</v>
      </c>
      <c r="F25" s="4" t="s">
        <v>45</v>
      </c>
      <c r="G25" s="4" t="s">
        <v>46</v>
      </c>
      <c r="H25" s="4" t="s">
        <v>35</v>
      </c>
      <c r="I25" s="4">
        <v>3</v>
      </c>
      <c r="J25" s="4" t="s">
        <v>41</v>
      </c>
      <c r="K25" s="4" t="s">
        <v>34</v>
      </c>
      <c r="L25" s="4">
        <v>56</v>
      </c>
      <c r="M25" s="4" t="s">
        <v>35</v>
      </c>
      <c r="N25" s="4">
        <f t="shared" si="2"/>
        <v>6666.666666666667</v>
      </c>
      <c r="O25" s="4" t="str">
        <f t="shared" si="0"/>
        <v>High Income</v>
      </c>
      <c r="P25" s="4" t="str">
        <f t="shared" si="1"/>
        <v>No</v>
      </c>
      <c r="S25" s="8" t="s">
        <v>14</v>
      </c>
      <c r="T25" s="3" t="s">
        <v>15</v>
      </c>
      <c r="U25" s="3" t="s">
        <v>16</v>
      </c>
      <c r="V25" s="3" t="s">
        <v>17</v>
      </c>
      <c r="W25" s="3" t="s">
        <v>18</v>
      </c>
      <c r="X25" s="3" t="s">
        <v>19</v>
      </c>
      <c r="Y25" s="3" t="s">
        <v>20</v>
      </c>
      <c r="Z25" s="3" t="s">
        <v>21</v>
      </c>
      <c r="AA25" s="3" t="s">
        <v>22</v>
      </c>
      <c r="AB25" s="3" t="s">
        <v>23</v>
      </c>
      <c r="AC25" s="3" t="s">
        <v>24</v>
      </c>
      <c r="AD25" s="3" t="s">
        <v>25</v>
      </c>
      <c r="AE25" s="3" t="s">
        <v>26</v>
      </c>
      <c r="AF25" s="3" t="s">
        <v>50</v>
      </c>
      <c r="AG25" s="8" t="s">
        <v>56</v>
      </c>
      <c r="AH25" s="8" t="s">
        <v>62</v>
      </c>
      <c r="AI25" s="3" t="s">
        <v>27</v>
      </c>
    </row>
    <row r="26" spans="1:35" ht="14.25" customHeight="1" x14ac:dyDescent="0.35">
      <c r="A26" s="4">
        <v>27184</v>
      </c>
      <c r="B26" s="4" t="s">
        <v>40</v>
      </c>
      <c r="C26" s="4" t="s">
        <v>28</v>
      </c>
      <c r="D26" s="5">
        <v>40000</v>
      </c>
      <c r="E26" s="4">
        <v>2</v>
      </c>
      <c r="F26" s="4" t="s">
        <v>36</v>
      </c>
      <c r="G26" s="4" t="s">
        <v>37</v>
      </c>
      <c r="H26" s="4" t="s">
        <v>35</v>
      </c>
      <c r="I26" s="4">
        <v>1</v>
      </c>
      <c r="J26" s="4" t="s">
        <v>33</v>
      </c>
      <c r="K26" s="4" t="s">
        <v>34</v>
      </c>
      <c r="L26" s="4">
        <v>34</v>
      </c>
      <c r="M26" s="4" t="s">
        <v>35</v>
      </c>
      <c r="N26" s="4">
        <f t="shared" si="2"/>
        <v>3333.3333333333335</v>
      </c>
      <c r="O26" s="4" t="str">
        <f t="shared" si="0"/>
        <v>Less Income</v>
      </c>
      <c r="P26" s="4" t="str">
        <f t="shared" si="1"/>
        <v>No</v>
      </c>
      <c r="S26" s="4">
        <v>12678</v>
      </c>
      <c r="T26" s="4" t="s">
        <v>40</v>
      </c>
      <c r="U26" s="4" t="s">
        <v>29</v>
      </c>
      <c r="V26" s="5">
        <v>130000</v>
      </c>
      <c r="W26" s="4">
        <v>4</v>
      </c>
      <c r="X26" s="4" t="s">
        <v>45</v>
      </c>
      <c r="Y26" s="4" t="s">
        <v>46</v>
      </c>
      <c r="Z26" s="4" t="s">
        <v>32</v>
      </c>
      <c r="AA26" s="4">
        <v>4</v>
      </c>
      <c r="AB26" s="4" t="s">
        <v>33</v>
      </c>
      <c r="AC26" s="4" t="s">
        <v>42</v>
      </c>
      <c r="AD26" s="4">
        <v>31</v>
      </c>
      <c r="AE26" s="4" t="s">
        <v>35</v>
      </c>
      <c r="AF26" s="4">
        <v>10833.333333333334</v>
      </c>
      <c r="AG26" s="4" t="s">
        <v>56</v>
      </c>
      <c r="AH26" s="4" t="s">
        <v>32</v>
      </c>
    </row>
    <row r="27" spans="1:35" ht="14.25" customHeight="1" x14ac:dyDescent="0.35">
      <c r="A27" s="4">
        <v>12590</v>
      </c>
      <c r="B27" s="4" t="s">
        <v>40</v>
      </c>
      <c r="C27" s="4" t="s">
        <v>28</v>
      </c>
      <c r="D27" s="5">
        <v>30000</v>
      </c>
      <c r="E27" s="4">
        <v>1</v>
      </c>
      <c r="F27" s="4" t="s">
        <v>30</v>
      </c>
      <c r="G27" s="4" t="s">
        <v>37</v>
      </c>
      <c r="H27" s="4" t="s">
        <v>32</v>
      </c>
      <c r="I27" s="4">
        <v>0</v>
      </c>
      <c r="J27" s="4" t="s">
        <v>33</v>
      </c>
      <c r="K27" s="4" t="s">
        <v>34</v>
      </c>
      <c r="L27" s="4">
        <v>63</v>
      </c>
      <c r="M27" s="4" t="s">
        <v>35</v>
      </c>
      <c r="N27" s="4">
        <f t="shared" si="2"/>
        <v>2500</v>
      </c>
      <c r="O27" s="4" t="str">
        <f t="shared" si="0"/>
        <v>Less Income</v>
      </c>
      <c r="P27" s="4" t="str">
        <f t="shared" si="1"/>
        <v>No</v>
      </c>
      <c r="S27" s="4">
        <v>12344</v>
      </c>
      <c r="T27" s="4" t="s">
        <v>40</v>
      </c>
      <c r="U27" s="4" t="s">
        <v>29</v>
      </c>
      <c r="V27" s="5">
        <v>80000</v>
      </c>
      <c r="W27" s="4">
        <v>0</v>
      </c>
      <c r="X27" s="4" t="s">
        <v>30</v>
      </c>
      <c r="Y27" s="4" t="s">
        <v>38</v>
      </c>
      <c r="Z27" s="4" t="s">
        <v>35</v>
      </c>
      <c r="AA27" s="4">
        <v>3</v>
      </c>
      <c r="AB27" s="4" t="s">
        <v>48</v>
      </c>
      <c r="AC27" s="4" t="s">
        <v>42</v>
      </c>
      <c r="AD27" s="4">
        <v>31</v>
      </c>
      <c r="AE27" s="4" t="s">
        <v>35</v>
      </c>
      <c r="AF27" s="4">
        <v>6666.666666666667</v>
      </c>
      <c r="AG27" s="4" t="s">
        <v>56</v>
      </c>
      <c r="AH27" s="4" t="s">
        <v>32</v>
      </c>
    </row>
    <row r="28" spans="1:35" ht="14.25" customHeight="1" x14ac:dyDescent="0.35">
      <c r="A28" s="4">
        <v>17841</v>
      </c>
      <c r="B28" s="4" t="s">
        <v>40</v>
      </c>
      <c r="C28" s="4" t="s">
        <v>28</v>
      </c>
      <c r="D28" s="5">
        <v>30000</v>
      </c>
      <c r="E28" s="4">
        <v>0</v>
      </c>
      <c r="F28" s="4" t="s">
        <v>36</v>
      </c>
      <c r="G28" s="4" t="s">
        <v>37</v>
      </c>
      <c r="H28" s="4" t="s">
        <v>35</v>
      </c>
      <c r="I28" s="4">
        <v>1</v>
      </c>
      <c r="J28" s="4" t="s">
        <v>33</v>
      </c>
      <c r="K28" s="4" t="s">
        <v>34</v>
      </c>
      <c r="L28" s="4">
        <v>29</v>
      </c>
      <c r="M28" s="4" t="s">
        <v>32</v>
      </c>
      <c r="N28" s="4">
        <f t="shared" si="2"/>
        <v>2500</v>
      </c>
      <c r="O28" s="4" t="str">
        <f t="shared" si="0"/>
        <v>Less Income</v>
      </c>
      <c r="P28" s="4" t="str">
        <f t="shared" si="1"/>
        <v>No</v>
      </c>
      <c r="S28" s="4">
        <v>16614</v>
      </c>
      <c r="T28" s="4" t="s">
        <v>28</v>
      </c>
      <c r="U28" s="4" t="s">
        <v>29</v>
      </c>
      <c r="V28" s="5">
        <v>80000</v>
      </c>
      <c r="W28" s="4">
        <v>0</v>
      </c>
      <c r="X28" s="4" t="s">
        <v>30</v>
      </c>
      <c r="Y28" s="4" t="s">
        <v>38</v>
      </c>
      <c r="Z28" s="4" t="s">
        <v>32</v>
      </c>
      <c r="AA28" s="4">
        <v>3</v>
      </c>
      <c r="AB28" s="4" t="s">
        <v>48</v>
      </c>
      <c r="AC28" s="4" t="s">
        <v>42</v>
      </c>
      <c r="AD28" s="4">
        <v>32</v>
      </c>
      <c r="AE28" s="4" t="s">
        <v>35</v>
      </c>
      <c r="AF28" s="4">
        <v>6666.666666666667</v>
      </c>
      <c r="AG28" s="4" t="s">
        <v>56</v>
      </c>
      <c r="AH28" s="4" t="s">
        <v>32</v>
      </c>
    </row>
    <row r="29" spans="1:35" ht="14.25" customHeight="1" x14ac:dyDescent="0.35">
      <c r="A29" s="4">
        <v>18283</v>
      </c>
      <c r="B29" s="4" t="s">
        <v>40</v>
      </c>
      <c r="C29" s="4" t="s">
        <v>29</v>
      </c>
      <c r="D29" s="5">
        <v>100000</v>
      </c>
      <c r="E29" s="4">
        <v>0</v>
      </c>
      <c r="F29" s="4" t="s">
        <v>30</v>
      </c>
      <c r="G29" s="4" t="s">
        <v>38</v>
      </c>
      <c r="H29" s="4" t="s">
        <v>35</v>
      </c>
      <c r="I29" s="4">
        <v>1</v>
      </c>
      <c r="J29" s="4" t="s">
        <v>41</v>
      </c>
      <c r="K29" s="4" t="s">
        <v>42</v>
      </c>
      <c r="L29" s="4">
        <v>40</v>
      </c>
      <c r="M29" s="4" t="s">
        <v>35</v>
      </c>
      <c r="N29" s="4">
        <f t="shared" si="2"/>
        <v>8333.3333333333339</v>
      </c>
      <c r="O29" s="4" t="str">
        <f t="shared" si="0"/>
        <v>High Income</v>
      </c>
      <c r="P29" s="4" t="str">
        <f t="shared" si="1"/>
        <v>No</v>
      </c>
    </row>
    <row r="30" spans="1:35" ht="14.25" customHeight="1" x14ac:dyDescent="0.35">
      <c r="A30" s="4">
        <v>18299</v>
      </c>
      <c r="B30" s="4" t="s">
        <v>28</v>
      </c>
      <c r="C30" s="4" t="s">
        <v>28</v>
      </c>
      <c r="D30" s="5">
        <v>70000</v>
      </c>
      <c r="E30" s="4">
        <v>5</v>
      </c>
      <c r="F30" s="4" t="s">
        <v>36</v>
      </c>
      <c r="G30" s="4" t="s">
        <v>31</v>
      </c>
      <c r="H30" s="4" t="s">
        <v>32</v>
      </c>
      <c r="I30" s="4">
        <v>2</v>
      </c>
      <c r="J30" s="4" t="s">
        <v>41</v>
      </c>
      <c r="K30" s="4" t="s">
        <v>42</v>
      </c>
      <c r="L30" s="4">
        <v>44</v>
      </c>
      <c r="M30" s="4" t="s">
        <v>35</v>
      </c>
      <c r="N30" s="4">
        <f t="shared" si="2"/>
        <v>5833.333333333333</v>
      </c>
      <c r="O30" s="4" t="str">
        <f t="shared" si="0"/>
        <v>Less Income</v>
      </c>
      <c r="P30" s="4" t="str">
        <f t="shared" si="1"/>
        <v>No</v>
      </c>
      <c r="S30" s="15" t="s">
        <v>76</v>
      </c>
    </row>
    <row r="31" spans="1:35" ht="14.25" customHeight="1" x14ac:dyDescent="0.35">
      <c r="A31" s="4">
        <v>16466</v>
      </c>
      <c r="B31" s="4" t="s">
        <v>40</v>
      </c>
      <c r="C31" s="4" t="s">
        <v>29</v>
      </c>
      <c r="D31" s="5">
        <v>20000</v>
      </c>
      <c r="E31" s="4">
        <v>0</v>
      </c>
      <c r="F31" s="4" t="s">
        <v>47</v>
      </c>
      <c r="G31" s="4" t="s">
        <v>43</v>
      </c>
      <c r="H31" s="4" t="s">
        <v>35</v>
      </c>
      <c r="I31" s="4">
        <v>2</v>
      </c>
      <c r="J31" s="4" t="s">
        <v>33</v>
      </c>
      <c r="K31" s="4" t="s">
        <v>34</v>
      </c>
      <c r="L31" s="4">
        <v>32</v>
      </c>
      <c r="M31" s="4" t="s">
        <v>32</v>
      </c>
      <c r="N31" s="4">
        <f t="shared" si="2"/>
        <v>1666.6666666666667</v>
      </c>
      <c r="O31" s="4" t="str">
        <f t="shared" si="0"/>
        <v>Less Income</v>
      </c>
      <c r="P31" s="4" t="str">
        <f t="shared" si="1"/>
        <v>No</v>
      </c>
      <c r="S31">
        <f>COUNTIF(M2:M200,"Yes")</f>
        <v>105</v>
      </c>
    </row>
    <row r="32" spans="1:35" ht="14.25" customHeight="1" x14ac:dyDescent="0.35">
      <c r="A32" s="4">
        <v>19273</v>
      </c>
      <c r="B32" s="4" t="s">
        <v>28</v>
      </c>
      <c r="C32" s="4" t="s">
        <v>29</v>
      </c>
      <c r="D32" s="5">
        <v>20000</v>
      </c>
      <c r="E32" s="4">
        <v>2</v>
      </c>
      <c r="F32" s="4" t="s">
        <v>36</v>
      </c>
      <c r="G32" s="4" t="s">
        <v>43</v>
      </c>
      <c r="H32" s="4" t="s">
        <v>32</v>
      </c>
      <c r="I32" s="4">
        <v>0</v>
      </c>
      <c r="J32" s="4" t="s">
        <v>33</v>
      </c>
      <c r="K32" s="4" t="s">
        <v>34</v>
      </c>
      <c r="L32" s="4">
        <v>63</v>
      </c>
      <c r="M32" s="4" t="s">
        <v>35</v>
      </c>
      <c r="N32" s="4">
        <f t="shared" si="2"/>
        <v>1666.6666666666667</v>
      </c>
      <c r="O32" s="4" t="str">
        <f t="shared" si="0"/>
        <v>Less Income</v>
      </c>
      <c r="P32" s="4" t="str">
        <f t="shared" si="1"/>
        <v>No</v>
      </c>
      <c r="S32" s="15" t="s">
        <v>77</v>
      </c>
    </row>
    <row r="33" spans="1:21" ht="14.25" customHeight="1" x14ac:dyDescent="0.35">
      <c r="A33" s="4">
        <v>22400</v>
      </c>
      <c r="B33" s="4" t="s">
        <v>28</v>
      </c>
      <c r="C33" s="4" t="s">
        <v>28</v>
      </c>
      <c r="D33" s="5">
        <v>10000</v>
      </c>
      <c r="E33" s="4">
        <v>0</v>
      </c>
      <c r="F33" s="4" t="s">
        <v>36</v>
      </c>
      <c r="G33" s="4" t="s">
        <v>43</v>
      </c>
      <c r="H33" s="4" t="s">
        <v>35</v>
      </c>
      <c r="I33" s="4">
        <v>1</v>
      </c>
      <c r="J33" s="4" t="s">
        <v>33</v>
      </c>
      <c r="K33" s="4" t="s">
        <v>42</v>
      </c>
      <c r="L33" s="4">
        <v>26</v>
      </c>
      <c r="M33" s="4" t="s">
        <v>32</v>
      </c>
      <c r="N33" s="4">
        <f t="shared" si="2"/>
        <v>833.33333333333337</v>
      </c>
      <c r="O33" s="4" t="str">
        <f t="shared" si="0"/>
        <v>Less Income</v>
      </c>
      <c r="P33" s="4" t="str">
        <f t="shared" si="1"/>
        <v>No</v>
      </c>
      <c r="S33" s="15" t="s">
        <v>78</v>
      </c>
      <c r="U33" s="15" t="s">
        <v>79</v>
      </c>
    </row>
    <row r="34" spans="1:21" ht="14.25" customHeight="1" x14ac:dyDescent="0.35">
      <c r="A34" s="4">
        <v>20942</v>
      </c>
      <c r="B34" s="4" t="s">
        <v>40</v>
      </c>
      <c r="C34" s="4" t="s">
        <v>29</v>
      </c>
      <c r="D34" s="5">
        <v>20000</v>
      </c>
      <c r="E34" s="4">
        <v>0</v>
      </c>
      <c r="F34" s="4" t="s">
        <v>45</v>
      </c>
      <c r="G34" s="4" t="s">
        <v>43</v>
      </c>
      <c r="H34" s="4" t="s">
        <v>35</v>
      </c>
      <c r="I34" s="4">
        <v>1</v>
      </c>
      <c r="J34" s="4" t="s">
        <v>41</v>
      </c>
      <c r="K34" s="4" t="s">
        <v>34</v>
      </c>
      <c r="L34" s="4">
        <v>31</v>
      </c>
      <c r="M34" s="4" t="s">
        <v>35</v>
      </c>
      <c r="N34" s="4">
        <f t="shared" si="2"/>
        <v>1666.6666666666667</v>
      </c>
      <c r="O34" s="4" t="str">
        <f t="shared" ref="O34:O65" si="3">IF(D34&gt;70000, "High Income", "Less Income")</f>
        <v>Less Income</v>
      </c>
      <c r="P34" s="4" t="str">
        <f t="shared" ref="P34:P65" si="4">IF(AND(D34&gt;70000,L34&lt;40), "Yes", "No")</f>
        <v>No</v>
      </c>
      <c r="S34">
        <v>25598</v>
      </c>
      <c r="U34">
        <f>VLOOKUP(S34,A2:L200,12,FALSE)</f>
        <v>36</v>
      </c>
    </row>
    <row r="35" spans="1:21" ht="14.25" customHeight="1" x14ac:dyDescent="0.35">
      <c r="A35" s="4">
        <v>18484</v>
      </c>
      <c r="B35" s="4" t="s">
        <v>40</v>
      </c>
      <c r="C35" s="4" t="s">
        <v>28</v>
      </c>
      <c r="D35" s="5">
        <v>80000</v>
      </c>
      <c r="E35" s="4">
        <v>2</v>
      </c>
      <c r="F35" s="4" t="s">
        <v>45</v>
      </c>
      <c r="G35" s="4" t="s">
        <v>31</v>
      </c>
      <c r="H35" s="4" t="s">
        <v>35</v>
      </c>
      <c r="I35" s="4">
        <v>2</v>
      </c>
      <c r="J35" s="4" t="s">
        <v>44</v>
      </c>
      <c r="K35" s="4" t="s">
        <v>42</v>
      </c>
      <c r="L35" s="4">
        <v>50</v>
      </c>
      <c r="M35" s="4" t="s">
        <v>32</v>
      </c>
      <c r="N35" s="4">
        <f t="shared" si="2"/>
        <v>6666.666666666667</v>
      </c>
      <c r="O35" s="4" t="str">
        <f t="shared" si="3"/>
        <v>High Income</v>
      </c>
      <c r="P35" s="4" t="str">
        <f t="shared" si="4"/>
        <v>No</v>
      </c>
    </row>
    <row r="36" spans="1:21" ht="14.25" customHeight="1" x14ac:dyDescent="0.35">
      <c r="A36" s="4">
        <v>12291</v>
      </c>
      <c r="B36" s="4" t="s">
        <v>40</v>
      </c>
      <c r="C36" s="4" t="s">
        <v>28</v>
      </c>
      <c r="D36" s="5">
        <v>90000</v>
      </c>
      <c r="E36" s="4">
        <v>5</v>
      </c>
      <c r="F36" s="4" t="s">
        <v>36</v>
      </c>
      <c r="G36" s="4" t="s">
        <v>38</v>
      </c>
      <c r="H36" s="4" t="s">
        <v>35</v>
      </c>
      <c r="I36" s="4">
        <v>2</v>
      </c>
      <c r="J36" s="4" t="s">
        <v>39</v>
      </c>
      <c r="K36" s="4" t="s">
        <v>34</v>
      </c>
      <c r="L36" s="4">
        <v>62</v>
      </c>
      <c r="M36" s="4" t="s">
        <v>32</v>
      </c>
      <c r="N36" s="4">
        <f t="shared" si="2"/>
        <v>7500</v>
      </c>
      <c r="O36" s="4" t="str">
        <f t="shared" si="3"/>
        <v>High Income</v>
      </c>
      <c r="P36" s="4" t="str">
        <f t="shared" si="4"/>
        <v>No</v>
      </c>
    </row>
    <row r="37" spans="1:21" ht="14.25" customHeight="1" x14ac:dyDescent="0.35">
      <c r="A37" s="4">
        <v>28380</v>
      </c>
      <c r="B37" s="4" t="s">
        <v>40</v>
      </c>
      <c r="C37" s="4" t="s">
        <v>29</v>
      </c>
      <c r="D37" s="5">
        <v>10000</v>
      </c>
      <c r="E37" s="4">
        <v>5</v>
      </c>
      <c r="F37" s="4" t="s">
        <v>47</v>
      </c>
      <c r="G37" s="4" t="s">
        <v>43</v>
      </c>
      <c r="H37" s="4" t="s">
        <v>35</v>
      </c>
      <c r="I37" s="4">
        <v>2</v>
      </c>
      <c r="J37" s="4" t="s">
        <v>33</v>
      </c>
      <c r="K37" s="4" t="s">
        <v>34</v>
      </c>
      <c r="L37" s="4">
        <v>41</v>
      </c>
      <c r="M37" s="4" t="s">
        <v>35</v>
      </c>
      <c r="N37" s="4">
        <f t="shared" si="2"/>
        <v>833.33333333333337</v>
      </c>
      <c r="O37" s="4" t="str">
        <f t="shared" si="3"/>
        <v>Less Income</v>
      </c>
      <c r="P37" s="4" t="str">
        <f t="shared" si="4"/>
        <v>No</v>
      </c>
    </row>
    <row r="38" spans="1:21" ht="14.25" customHeight="1" x14ac:dyDescent="0.35">
      <c r="A38" s="4">
        <v>17891</v>
      </c>
      <c r="B38" s="4" t="s">
        <v>28</v>
      </c>
      <c r="C38" s="4" t="s">
        <v>29</v>
      </c>
      <c r="D38" s="5">
        <v>10000</v>
      </c>
      <c r="E38" s="4">
        <v>2</v>
      </c>
      <c r="F38" s="4" t="s">
        <v>36</v>
      </c>
      <c r="G38" s="4" t="s">
        <v>43</v>
      </c>
      <c r="H38" s="4" t="s">
        <v>32</v>
      </c>
      <c r="I38" s="4">
        <v>1</v>
      </c>
      <c r="J38" s="4" t="s">
        <v>33</v>
      </c>
      <c r="K38" s="4" t="s">
        <v>34</v>
      </c>
      <c r="L38" s="4">
        <v>50</v>
      </c>
      <c r="M38" s="4" t="s">
        <v>32</v>
      </c>
      <c r="N38" s="4">
        <f t="shared" si="2"/>
        <v>833.33333333333337</v>
      </c>
      <c r="O38" s="4" t="str">
        <f t="shared" si="3"/>
        <v>Less Income</v>
      </c>
      <c r="P38" s="4" t="str">
        <f t="shared" si="4"/>
        <v>No</v>
      </c>
    </row>
    <row r="39" spans="1:21" ht="14.25" customHeight="1" x14ac:dyDescent="0.35">
      <c r="A39" s="4">
        <v>27832</v>
      </c>
      <c r="B39" s="4" t="s">
        <v>40</v>
      </c>
      <c r="C39" s="4" t="s">
        <v>29</v>
      </c>
      <c r="D39" s="5">
        <v>30000</v>
      </c>
      <c r="E39" s="4">
        <v>0</v>
      </c>
      <c r="F39" s="4" t="s">
        <v>36</v>
      </c>
      <c r="G39" s="4" t="s">
        <v>37</v>
      </c>
      <c r="H39" s="4" t="s">
        <v>35</v>
      </c>
      <c r="I39" s="4">
        <v>1</v>
      </c>
      <c r="J39" s="4" t="s">
        <v>39</v>
      </c>
      <c r="K39" s="4" t="s">
        <v>34</v>
      </c>
      <c r="L39" s="4">
        <v>30</v>
      </c>
      <c r="M39" s="4" t="s">
        <v>35</v>
      </c>
      <c r="N39" s="4">
        <f t="shared" si="2"/>
        <v>2500</v>
      </c>
      <c r="O39" s="4" t="str">
        <f t="shared" si="3"/>
        <v>Less Income</v>
      </c>
      <c r="P39" s="4" t="str">
        <f t="shared" si="4"/>
        <v>No</v>
      </c>
    </row>
    <row r="40" spans="1:21" ht="14.25" customHeight="1" x14ac:dyDescent="0.35">
      <c r="A40" s="4">
        <v>26863</v>
      </c>
      <c r="B40" s="4" t="s">
        <v>40</v>
      </c>
      <c r="C40" s="4" t="s">
        <v>28</v>
      </c>
      <c r="D40" s="5">
        <v>20000</v>
      </c>
      <c r="E40" s="4">
        <v>0</v>
      </c>
      <c r="F40" s="4" t="s">
        <v>45</v>
      </c>
      <c r="G40" s="4" t="s">
        <v>43</v>
      </c>
      <c r="H40" s="4" t="s">
        <v>35</v>
      </c>
      <c r="I40" s="4">
        <v>1</v>
      </c>
      <c r="J40" s="4" t="s">
        <v>39</v>
      </c>
      <c r="K40" s="4" t="s">
        <v>34</v>
      </c>
      <c r="L40" s="4">
        <v>28</v>
      </c>
      <c r="M40" s="4" t="s">
        <v>35</v>
      </c>
      <c r="N40" s="4">
        <f t="shared" si="2"/>
        <v>1666.6666666666667</v>
      </c>
      <c r="O40" s="4" t="str">
        <f t="shared" si="3"/>
        <v>Less Income</v>
      </c>
      <c r="P40" s="4" t="str">
        <f t="shared" si="4"/>
        <v>No</v>
      </c>
    </row>
    <row r="41" spans="1:21" ht="14.25" customHeight="1" x14ac:dyDescent="0.35">
      <c r="A41" s="4">
        <v>16259</v>
      </c>
      <c r="B41" s="4" t="s">
        <v>40</v>
      </c>
      <c r="C41" s="4" t="s">
        <v>29</v>
      </c>
      <c r="D41" s="5">
        <v>10000</v>
      </c>
      <c r="E41" s="4">
        <v>4</v>
      </c>
      <c r="F41" s="4" t="s">
        <v>47</v>
      </c>
      <c r="G41" s="4" t="s">
        <v>43</v>
      </c>
      <c r="H41" s="4" t="s">
        <v>32</v>
      </c>
      <c r="I41" s="4">
        <v>2</v>
      </c>
      <c r="J41" s="4" t="s">
        <v>33</v>
      </c>
      <c r="K41" s="4" t="s">
        <v>34</v>
      </c>
      <c r="L41" s="4">
        <v>40</v>
      </c>
      <c r="M41" s="4" t="s">
        <v>32</v>
      </c>
      <c r="N41" s="4">
        <f t="shared" si="2"/>
        <v>833.33333333333337</v>
      </c>
      <c r="O41" s="4" t="str">
        <f t="shared" si="3"/>
        <v>Less Income</v>
      </c>
      <c r="P41" s="4" t="str">
        <f t="shared" si="4"/>
        <v>No</v>
      </c>
    </row>
    <row r="42" spans="1:21" ht="14.25" customHeight="1" x14ac:dyDescent="0.35">
      <c r="A42" s="4">
        <v>27803</v>
      </c>
      <c r="B42" s="4" t="s">
        <v>40</v>
      </c>
      <c r="C42" s="4" t="s">
        <v>29</v>
      </c>
      <c r="D42" s="5">
        <v>30000</v>
      </c>
      <c r="E42" s="4">
        <v>2</v>
      </c>
      <c r="F42" s="4" t="s">
        <v>36</v>
      </c>
      <c r="G42" s="4" t="s">
        <v>37</v>
      </c>
      <c r="H42" s="4" t="s">
        <v>35</v>
      </c>
      <c r="I42" s="4">
        <v>0</v>
      </c>
      <c r="J42" s="4" t="s">
        <v>33</v>
      </c>
      <c r="K42" s="4" t="s">
        <v>34</v>
      </c>
      <c r="L42" s="4">
        <v>43</v>
      </c>
      <c r="M42" s="4" t="s">
        <v>35</v>
      </c>
      <c r="N42" s="4">
        <f t="shared" si="2"/>
        <v>2500</v>
      </c>
      <c r="O42" s="4" t="str">
        <f t="shared" si="3"/>
        <v>Less Income</v>
      </c>
      <c r="P42" s="4" t="str">
        <f t="shared" si="4"/>
        <v>No</v>
      </c>
    </row>
    <row r="43" spans="1:21" ht="14.25" customHeight="1" x14ac:dyDescent="0.35">
      <c r="A43" s="4">
        <v>14347</v>
      </c>
      <c r="B43" s="4" t="s">
        <v>40</v>
      </c>
      <c r="C43" s="4" t="s">
        <v>29</v>
      </c>
      <c r="D43" s="5">
        <v>40000</v>
      </c>
      <c r="E43" s="4">
        <v>2</v>
      </c>
      <c r="F43" s="4" t="s">
        <v>30</v>
      </c>
      <c r="G43" s="4" t="s">
        <v>46</v>
      </c>
      <c r="H43" s="4" t="s">
        <v>32</v>
      </c>
      <c r="I43" s="4">
        <v>2</v>
      </c>
      <c r="J43" s="4" t="s">
        <v>41</v>
      </c>
      <c r="K43" s="4" t="s">
        <v>42</v>
      </c>
      <c r="L43" s="4">
        <v>65</v>
      </c>
      <c r="M43" s="4" t="s">
        <v>32</v>
      </c>
      <c r="N43" s="4">
        <f t="shared" si="2"/>
        <v>3333.3333333333335</v>
      </c>
      <c r="O43" s="4" t="str">
        <f t="shared" si="3"/>
        <v>Less Income</v>
      </c>
      <c r="P43" s="4" t="str">
        <f t="shared" si="4"/>
        <v>No</v>
      </c>
    </row>
    <row r="44" spans="1:21" ht="14.25" customHeight="1" x14ac:dyDescent="0.35">
      <c r="A44" s="4">
        <v>17703</v>
      </c>
      <c r="B44" s="4" t="s">
        <v>28</v>
      </c>
      <c r="C44" s="4" t="s">
        <v>29</v>
      </c>
      <c r="D44" s="5">
        <v>10000</v>
      </c>
      <c r="E44" s="4">
        <v>1</v>
      </c>
      <c r="F44" s="4" t="s">
        <v>49</v>
      </c>
      <c r="G44" s="4" t="s">
        <v>43</v>
      </c>
      <c r="H44" s="4" t="s">
        <v>32</v>
      </c>
      <c r="I44" s="4">
        <v>0</v>
      </c>
      <c r="J44" s="4" t="s">
        <v>33</v>
      </c>
      <c r="K44" s="4" t="s">
        <v>34</v>
      </c>
      <c r="L44" s="4">
        <v>40</v>
      </c>
      <c r="M44" s="4" t="s">
        <v>35</v>
      </c>
      <c r="N44" s="4">
        <f t="shared" si="2"/>
        <v>833.33333333333337</v>
      </c>
      <c r="O44" s="4" t="str">
        <f t="shared" si="3"/>
        <v>Less Income</v>
      </c>
      <c r="P44" s="4" t="str">
        <f t="shared" si="4"/>
        <v>No</v>
      </c>
    </row>
    <row r="45" spans="1:21" ht="14.25" customHeight="1" x14ac:dyDescent="0.35">
      <c r="A45" s="4">
        <v>17185</v>
      </c>
      <c r="B45" s="4" t="s">
        <v>28</v>
      </c>
      <c r="C45" s="4" t="s">
        <v>29</v>
      </c>
      <c r="D45" s="5">
        <v>170000</v>
      </c>
      <c r="E45" s="4">
        <v>4</v>
      </c>
      <c r="F45" s="4" t="s">
        <v>36</v>
      </c>
      <c r="G45" s="4" t="s">
        <v>38</v>
      </c>
      <c r="H45" s="4" t="s">
        <v>35</v>
      </c>
      <c r="I45" s="4">
        <v>3</v>
      </c>
      <c r="J45" s="4" t="s">
        <v>41</v>
      </c>
      <c r="K45" s="4" t="s">
        <v>34</v>
      </c>
      <c r="L45" s="4">
        <v>48</v>
      </c>
      <c r="M45" s="4" t="s">
        <v>32</v>
      </c>
      <c r="N45" s="4">
        <f t="shared" si="2"/>
        <v>14166.666666666666</v>
      </c>
      <c r="O45" s="4" t="str">
        <f t="shared" si="3"/>
        <v>High Income</v>
      </c>
      <c r="P45" s="4" t="str">
        <f t="shared" si="4"/>
        <v>No</v>
      </c>
    </row>
    <row r="46" spans="1:21" ht="14.25" customHeight="1" x14ac:dyDescent="0.35">
      <c r="A46" s="4">
        <v>29380</v>
      </c>
      <c r="B46" s="4" t="s">
        <v>28</v>
      </c>
      <c r="C46" s="4" t="s">
        <v>29</v>
      </c>
      <c r="D46" s="5">
        <v>20000</v>
      </c>
      <c r="E46" s="4">
        <v>3</v>
      </c>
      <c r="F46" s="4" t="s">
        <v>45</v>
      </c>
      <c r="G46" s="4" t="s">
        <v>43</v>
      </c>
      <c r="H46" s="4" t="s">
        <v>32</v>
      </c>
      <c r="I46" s="4">
        <v>0</v>
      </c>
      <c r="J46" s="4" t="s">
        <v>33</v>
      </c>
      <c r="K46" s="4" t="s">
        <v>34</v>
      </c>
      <c r="L46" s="4">
        <v>41</v>
      </c>
      <c r="M46" s="4" t="s">
        <v>32</v>
      </c>
      <c r="N46" s="4">
        <f t="shared" si="2"/>
        <v>1666.6666666666667</v>
      </c>
      <c r="O46" s="4" t="str">
        <f t="shared" si="3"/>
        <v>Less Income</v>
      </c>
      <c r="P46" s="4" t="str">
        <f t="shared" si="4"/>
        <v>No</v>
      </c>
    </row>
    <row r="47" spans="1:21" ht="14.25" customHeight="1" x14ac:dyDescent="0.35">
      <c r="A47" s="4">
        <v>23986</v>
      </c>
      <c r="B47" s="4" t="s">
        <v>28</v>
      </c>
      <c r="C47" s="4" t="s">
        <v>29</v>
      </c>
      <c r="D47" s="5">
        <v>20000</v>
      </c>
      <c r="E47" s="4">
        <v>1</v>
      </c>
      <c r="F47" s="4" t="s">
        <v>30</v>
      </c>
      <c r="G47" s="4" t="s">
        <v>37</v>
      </c>
      <c r="H47" s="4" t="s">
        <v>32</v>
      </c>
      <c r="I47" s="4">
        <v>0</v>
      </c>
      <c r="J47" s="4" t="s">
        <v>33</v>
      </c>
      <c r="K47" s="4" t="s">
        <v>34</v>
      </c>
      <c r="L47" s="4">
        <v>66</v>
      </c>
      <c r="M47" s="4" t="s">
        <v>32</v>
      </c>
      <c r="N47" s="4">
        <f t="shared" si="2"/>
        <v>1666.6666666666667</v>
      </c>
      <c r="O47" s="4" t="str">
        <f t="shared" si="3"/>
        <v>Less Income</v>
      </c>
      <c r="P47" s="4" t="str">
        <f t="shared" si="4"/>
        <v>No</v>
      </c>
    </row>
    <row r="48" spans="1:21" ht="14.25" customHeight="1" x14ac:dyDescent="0.35">
      <c r="A48" s="4">
        <v>24466</v>
      </c>
      <c r="B48" s="4" t="s">
        <v>28</v>
      </c>
      <c r="C48" s="4" t="s">
        <v>29</v>
      </c>
      <c r="D48" s="5">
        <v>60000</v>
      </c>
      <c r="E48" s="4">
        <v>1</v>
      </c>
      <c r="F48" s="4" t="s">
        <v>36</v>
      </c>
      <c r="G48" s="4" t="s">
        <v>31</v>
      </c>
      <c r="H48" s="4" t="s">
        <v>32</v>
      </c>
      <c r="I48" s="4">
        <v>1</v>
      </c>
      <c r="J48" s="4" t="s">
        <v>41</v>
      </c>
      <c r="K48" s="4" t="s">
        <v>42</v>
      </c>
      <c r="L48" s="4">
        <v>46</v>
      </c>
      <c r="M48" s="4" t="s">
        <v>32</v>
      </c>
      <c r="N48" s="4">
        <f t="shared" si="2"/>
        <v>5000</v>
      </c>
      <c r="O48" s="4" t="str">
        <f t="shared" si="3"/>
        <v>Less Income</v>
      </c>
      <c r="P48" s="4" t="str">
        <f t="shared" si="4"/>
        <v>No</v>
      </c>
    </row>
    <row r="49" spans="1:16" ht="14.25" customHeight="1" x14ac:dyDescent="0.35">
      <c r="A49" s="4">
        <v>29097</v>
      </c>
      <c r="B49" s="4" t="s">
        <v>40</v>
      </c>
      <c r="C49" s="4" t="s">
        <v>29</v>
      </c>
      <c r="D49" s="5">
        <v>40000</v>
      </c>
      <c r="E49" s="4">
        <v>2</v>
      </c>
      <c r="F49" s="4" t="s">
        <v>36</v>
      </c>
      <c r="G49" s="4" t="s">
        <v>31</v>
      </c>
      <c r="H49" s="4" t="s">
        <v>32</v>
      </c>
      <c r="I49" s="4">
        <v>2</v>
      </c>
      <c r="J49" s="4" t="s">
        <v>41</v>
      </c>
      <c r="K49" s="4" t="s">
        <v>42</v>
      </c>
      <c r="L49" s="4">
        <v>52</v>
      </c>
      <c r="M49" s="4" t="s">
        <v>32</v>
      </c>
      <c r="N49" s="4">
        <f t="shared" si="2"/>
        <v>3333.3333333333335</v>
      </c>
      <c r="O49" s="4" t="str">
        <f t="shared" si="3"/>
        <v>Less Income</v>
      </c>
      <c r="P49" s="4" t="str">
        <f t="shared" si="4"/>
        <v>No</v>
      </c>
    </row>
    <row r="50" spans="1:16" ht="14.25" customHeight="1" x14ac:dyDescent="0.35">
      <c r="A50" s="4">
        <v>19487</v>
      </c>
      <c r="B50" s="4" t="s">
        <v>28</v>
      </c>
      <c r="C50" s="4" t="s">
        <v>28</v>
      </c>
      <c r="D50" s="5">
        <v>30000</v>
      </c>
      <c r="E50" s="4">
        <v>2</v>
      </c>
      <c r="F50" s="4" t="s">
        <v>36</v>
      </c>
      <c r="G50" s="4" t="s">
        <v>37</v>
      </c>
      <c r="H50" s="4" t="s">
        <v>35</v>
      </c>
      <c r="I50" s="4">
        <v>2</v>
      </c>
      <c r="J50" s="4" t="s">
        <v>33</v>
      </c>
      <c r="K50" s="4" t="s">
        <v>34</v>
      </c>
      <c r="L50" s="4">
        <v>42</v>
      </c>
      <c r="M50" s="4" t="s">
        <v>35</v>
      </c>
      <c r="N50" s="4">
        <f t="shared" si="2"/>
        <v>2500</v>
      </c>
      <c r="O50" s="4" t="str">
        <f t="shared" si="3"/>
        <v>Less Income</v>
      </c>
      <c r="P50" s="4" t="str">
        <f t="shared" si="4"/>
        <v>No</v>
      </c>
    </row>
    <row r="51" spans="1:16" ht="14.25" customHeight="1" x14ac:dyDescent="0.35">
      <c r="A51" s="4">
        <v>14939</v>
      </c>
      <c r="B51" s="4" t="s">
        <v>40</v>
      </c>
      <c r="C51" s="4" t="s">
        <v>28</v>
      </c>
      <c r="D51" s="5">
        <v>40000</v>
      </c>
      <c r="E51" s="4">
        <v>0</v>
      </c>
      <c r="F51" s="4" t="s">
        <v>30</v>
      </c>
      <c r="G51" s="4" t="s">
        <v>37</v>
      </c>
      <c r="H51" s="4" t="s">
        <v>32</v>
      </c>
      <c r="I51" s="4">
        <v>0</v>
      </c>
      <c r="J51" s="4" t="s">
        <v>33</v>
      </c>
      <c r="K51" s="4" t="s">
        <v>34</v>
      </c>
      <c r="L51" s="4">
        <v>39</v>
      </c>
      <c r="M51" s="4" t="s">
        <v>32</v>
      </c>
      <c r="N51" s="4">
        <f t="shared" si="2"/>
        <v>3333.3333333333335</v>
      </c>
      <c r="O51" s="4" t="str">
        <f t="shared" si="3"/>
        <v>Less Income</v>
      </c>
      <c r="P51" s="4" t="str">
        <f t="shared" si="4"/>
        <v>No</v>
      </c>
    </row>
    <row r="52" spans="1:16" ht="14.25" customHeight="1" x14ac:dyDescent="0.35">
      <c r="A52" s="4">
        <v>13826</v>
      </c>
      <c r="B52" s="4" t="s">
        <v>40</v>
      </c>
      <c r="C52" s="4" t="s">
        <v>29</v>
      </c>
      <c r="D52" s="5">
        <v>30000</v>
      </c>
      <c r="E52" s="4">
        <v>0</v>
      </c>
      <c r="F52" s="4" t="s">
        <v>36</v>
      </c>
      <c r="G52" s="4" t="s">
        <v>37</v>
      </c>
      <c r="H52" s="4" t="s">
        <v>35</v>
      </c>
      <c r="I52" s="4">
        <v>1</v>
      </c>
      <c r="J52" s="4" t="s">
        <v>33</v>
      </c>
      <c r="K52" s="4" t="s">
        <v>34</v>
      </c>
      <c r="L52" s="4">
        <v>28</v>
      </c>
      <c r="M52" s="4" t="s">
        <v>35</v>
      </c>
      <c r="N52" s="4">
        <f t="shared" si="2"/>
        <v>2500</v>
      </c>
      <c r="O52" s="4" t="str">
        <f t="shared" si="3"/>
        <v>Less Income</v>
      </c>
      <c r="P52" s="4" t="str">
        <f t="shared" si="4"/>
        <v>No</v>
      </c>
    </row>
    <row r="53" spans="1:16" ht="14.25" customHeight="1" x14ac:dyDescent="0.35">
      <c r="A53" s="4">
        <v>20619</v>
      </c>
      <c r="B53" s="4" t="s">
        <v>40</v>
      </c>
      <c r="C53" s="4" t="s">
        <v>28</v>
      </c>
      <c r="D53" s="5">
        <v>80000</v>
      </c>
      <c r="E53" s="4">
        <v>0</v>
      </c>
      <c r="F53" s="4" t="s">
        <v>30</v>
      </c>
      <c r="G53" s="4" t="s">
        <v>38</v>
      </c>
      <c r="H53" s="4" t="s">
        <v>35</v>
      </c>
      <c r="I53" s="4">
        <v>4</v>
      </c>
      <c r="J53" s="4" t="s">
        <v>48</v>
      </c>
      <c r="K53" s="4" t="s">
        <v>42</v>
      </c>
      <c r="L53" s="4">
        <v>35</v>
      </c>
      <c r="M53" s="4" t="s">
        <v>35</v>
      </c>
      <c r="N53" s="4">
        <f t="shared" si="2"/>
        <v>6666.666666666667</v>
      </c>
      <c r="O53" s="4" t="str">
        <f t="shared" si="3"/>
        <v>High Income</v>
      </c>
      <c r="P53" s="4" t="str">
        <f t="shared" si="4"/>
        <v>Yes</v>
      </c>
    </row>
    <row r="54" spans="1:16" ht="14.25" customHeight="1" x14ac:dyDescent="0.35">
      <c r="A54" s="4">
        <v>12558</v>
      </c>
      <c r="B54" s="4" t="s">
        <v>28</v>
      </c>
      <c r="C54" s="4" t="s">
        <v>29</v>
      </c>
      <c r="D54" s="5">
        <v>20000</v>
      </c>
      <c r="E54" s="4">
        <v>1</v>
      </c>
      <c r="F54" s="4" t="s">
        <v>30</v>
      </c>
      <c r="G54" s="4" t="s">
        <v>37</v>
      </c>
      <c r="H54" s="4" t="s">
        <v>32</v>
      </c>
      <c r="I54" s="4">
        <v>0</v>
      </c>
      <c r="J54" s="4" t="s">
        <v>33</v>
      </c>
      <c r="K54" s="4" t="s">
        <v>34</v>
      </c>
      <c r="L54" s="4">
        <v>65</v>
      </c>
      <c r="M54" s="4" t="s">
        <v>35</v>
      </c>
      <c r="N54" s="4">
        <f t="shared" si="2"/>
        <v>1666.6666666666667</v>
      </c>
      <c r="O54" s="4" t="str">
        <f t="shared" si="3"/>
        <v>Less Income</v>
      </c>
      <c r="P54" s="4" t="str">
        <f t="shared" si="4"/>
        <v>No</v>
      </c>
    </row>
    <row r="55" spans="1:16" ht="14.25" customHeight="1" x14ac:dyDescent="0.35">
      <c r="A55" s="4">
        <v>24871</v>
      </c>
      <c r="B55" s="4" t="s">
        <v>40</v>
      </c>
      <c r="C55" s="4" t="s">
        <v>29</v>
      </c>
      <c r="D55" s="5">
        <v>90000</v>
      </c>
      <c r="E55" s="4">
        <v>4</v>
      </c>
      <c r="F55" s="4" t="s">
        <v>45</v>
      </c>
      <c r="G55" s="4" t="s">
        <v>46</v>
      </c>
      <c r="H55" s="4" t="s">
        <v>35</v>
      </c>
      <c r="I55" s="4">
        <v>3</v>
      </c>
      <c r="J55" s="4" t="s">
        <v>41</v>
      </c>
      <c r="K55" s="4" t="s">
        <v>34</v>
      </c>
      <c r="L55" s="4">
        <v>56</v>
      </c>
      <c r="M55" s="4" t="s">
        <v>35</v>
      </c>
      <c r="N55" s="4">
        <f t="shared" si="2"/>
        <v>7500</v>
      </c>
      <c r="O55" s="4" t="str">
        <f t="shared" si="3"/>
        <v>High Income</v>
      </c>
      <c r="P55" s="4" t="str">
        <f t="shared" si="4"/>
        <v>No</v>
      </c>
    </row>
    <row r="56" spans="1:16" ht="14.25" customHeight="1" x14ac:dyDescent="0.35">
      <c r="A56" s="4">
        <v>17319</v>
      </c>
      <c r="B56" s="4" t="s">
        <v>40</v>
      </c>
      <c r="C56" s="4" t="s">
        <v>29</v>
      </c>
      <c r="D56" s="5">
        <v>70000</v>
      </c>
      <c r="E56" s="4">
        <v>0</v>
      </c>
      <c r="F56" s="4" t="s">
        <v>30</v>
      </c>
      <c r="G56" s="4" t="s">
        <v>38</v>
      </c>
      <c r="H56" s="4" t="s">
        <v>35</v>
      </c>
      <c r="I56" s="4">
        <v>1</v>
      </c>
      <c r="J56" s="4" t="s">
        <v>41</v>
      </c>
      <c r="K56" s="4" t="s">
        <v>42</v>
      </c>
      <c r="L56" s="4">
        <v>42</v>
      </c>
      <c r="M56" s="4" t="s">
        <v>35</v>
      </c>
      <c r="N56" s="4">
        <f t="shared" si="2"/>
        <v>5833.333333333333</v>
      </c>
      <c r="O56" s="4" t="str">
        <f t="shared" si="3"/>
        <v>Less Income</v>
      </c>
      <c r="P56" s="4" t="str">
        <f t="shared" si="4"/>
        <v>No</v>
      </c>
    </row>
    <row r="57" spans="1:16" ht="14.25" customHeight="1" x14ac:dyDescent="0.35">
      <c r="A57" s="4">
        <v>28906</v>
      </c>
      <c r="B57" s="4" t="s">
        <v>28</v>
      </c>
      <c r="C57" s="4" t="s">
        <v>28</v>
      </c>
      <c r="D57" s="5">
        <v>80000</v>
      </c>
      <c r="E57" s="4">
        <v>4</v>
      </c>
      <c r="F57" s="4" t="s">
        <v>45</v>
      </c>
      <c r="G57" s="4" t="s">
        <v>38</v>
      </c>
      <c r="H57" s="4" t="s">
        <v>32</v>
      </c>
      <c r="I57" s="4">
        <v>2</v>
      </c>
      <c r="J57" s="4" t="s">
        <v>48</v>
      </c>
      <c r="K57" s="4" t="s">
        <v>34</v>
      </c>
      <c r="L57" s="4">
        <v>54</v>
      </c>
      <c r="M57" s="4" t="s">
        <v>35</v>
      </c>
      <c r="N57" s="4">
        <f t="shared" si="2"/>
        <v>6666.666666666667</v>
      </c>
      <c r="O57" s="4" t="str">
        <f t="shared" si="3"/>
        <v>High Income</v>
      </c>
      <c r="P57" s="4" t="str">
        <f t="shared" si="4"/>
        <v>No</v>
      </c>
    </row>
    <row r="58" spans="1:16" ht="14.25" customHeight="1" x14ac:dyDescent="0.35">
      <c r="A58" s="4">
        <v>12808</v>
      </c>
      <c r="B58" s="4" t="s">
        <v>28</v>
      </c>
      <c r="C58" s="4" t="s">
        <v>28</v>
      </c>
      <c r="D58" s="5">
        <v>40000</v>
      </c>
      <c r="E58" s="4">
        <v>0</v>
      </c>
      <c r="F58" s="4" t="s">
        <v>30</v>
      </c>
      <c r="G58" s="4" t="s">
        <v>37</v>
      </c>
      <c r="H58" s="4" t="s">
        <v>32</v>
      </c>
      <c r="I58" s="4">
        <v>0</v>
      </c>
      <c r="J58" s="4" t="s">
        <v>33</v>
      </c>
      <c r="K58" s="4" t="s">
        <v>34</v>
      </c>
      <c r="L58" s="4">
        <v>38</v>
      </c>
      <c r="M58" s="4" t="s">
        <v>32</v>
      </c>
      <c r="N58" s="4">
        <f t="shared" si="2"/>
        <v>3333.3333333333335</v>
      </c>
      <c r="O58" s="4" t="str">
        <f t="shared" si="3"/>
        <v>Less Income</v>
      </c>
      <c r="P58" s="4" t="str">
        <f t="shared" si="4"/>
        <v>No</v>
      </c>
    </row>
    <row r="59" spans="1:16" ht="14.25" customHeight="1" x14ac:dyDescent="0.35">
      <c r="A59" s="4">
        <v>20567</v>
      </c>
      <c r="B59" s="4" t="s">
        <v>28</v>
      </c>
      <c r="C59" s="4" t="s">
        <v>28</v>
      </c>
      <c r="D59" s="5">
        <v>130000</v>
      </c>
      <c r="E59" s="4">
        <v>4</v>
      </c>
      <c r="F59" s="4" t="s">
        <v>36</v>
      </c>
      <c r="G59" s="4" t="s">
        <v>38</v>
      </c>
      <c r="H59" s="4" t="s">
        <v>35</v>
      </c>
      <c r="I59" s="4">
        <v>4</v>
      </c>
      <c r="J59" s="4" t="s">
        <v>41</v>
      </c>
      <c r="K59" s="4" t="s">
        <v>34</v>
      </c>
      <c r="L59" s="4">
        <v>61</v>
      </c>
      <c r="M59" s="4" t="s">
        <v>32</v>
      </c>
      <c r="N59" s="4">
        <f t="shared" si="2"/>
        <v>10833.333333333334</v>
      </c>
      <c r="O59" s="4" t="str">
        <f t="shared" si="3"/>
        <v>High Income</v>
      </c>
      <c r="P59" s="4" t="str">
        <f t="shared" si="4"/>
        <v>No</v>
      </c>
    </row>
    <row r="60" spans="1:16" ht="14.25" customHeight="1" x14ac:dyDescent="0.35">
      <c r="A60" s="4">
        <v>25502</v>
      </c>
      <c r="B60" s="4" t="s">
        <v>28</v>
      </c>
      <c r="C60" s="4" t="s">
        <v>29</v>
      </c>
      <c r="D60" s="5">
        <v>40000</v>
      </c>
      <c r="E60" s="4">
        <v>1</v>
      </c>
      <c r="F60" s="4" t="s">
        <v>30</v>
      </c>
      <c r="G60" s="4" t="s">
        <v>31</v>
      </c>
      <c r="H60" s="4" t="s">
        <v>32</v>
      </c>
      <c r="I60" s="4">
        <v>0</v>
      </c>
      <c r="J60" s="4" t="s">
        <v>33</v>
      </c>
      <c r="K60" s="4" t="s">
        <v>34</v>
      </c>
      <c r="L60" s="4">
        <v>43</v>
      </c>
      <c r="M60" s="4" t="s">
        <v>32</v>
      </c>
      <c r="N60" s="4">
        <f t="shared" si="2"/>
        <v>3333.3333333333335</v>
      </c>
      <c r="O60" s="4" t="str">
        <f t="shared" si="3"/>
        <v>Less Income</v>
      </c>
      <c r="P60" s="4" t="str">
        <f t="shared" si="4"/>
        <v>No</v>
      </c>
    </row>
    <row r="61" spans="1:16" ht="14.25" customHeight="1" x14ac:dyDescent="0.35">
      <c r="A61" s="4">
        <v>15580</v>
      </c>
      <c r="B61" s="4" t="s">
        <v>28</v>
      </c>
      <c r="C61" s="4" t="s">
        <v>28</v>
      </c>
      <c r="D61" s="5">
        <v>60000</v>
      </c>
      <c r="E61" s="4">
        <v>2</v>
      </c>
      <c r="F61" s="4" t="s">
        <v>30</v>
      </c>
      <c r="G61" s="4" t="s">
        <v>38</v>
      </c>
      <c r="H61" s="4" t="s">
        <v>32</v>
      </c>
      <c r="I61" s="4">
        <v>1</v>
      </c>
      <c r="J61" s="4" t="s">
        <v>39</v>
      </c>
      <c r="K61" s="4" t="s">
        <v>42</v>
      </c>
      <c r="L61" s="4">
        <v>38</v>
      </c>
      <c r="M61" s="4" t="s">
        <v>32</v>
      </c>
      <c r="N61" s="4">
        <f t="shared" si="2"/>
        <v>5000</v>
      </c>
      <c r="O61" s="4" t="str">
        <f t="shared" si="3"/>
        <v>Less Income</v>
      </c>
      <c r="P61" s="4" t="str">
        <f t="shared" si="4"/>
        <v>No</v>
      </c>
    </row>
    <row r="62" spans="1:16" ht="14.25" customHeight="1" x14ac:dyDescent="0.35">
      <c r="A62" s="4">
        <v>24185</v>
      </c>
      <c r="B62" s="4" t="s">
        <v>40</v>
      </c>
      <c r="C62" s="4" t="s">
        <v>29</v>
      </c>
      <c r="D62" s="5">
        <v>10000</v>
      </c>
      <c r="E62" s="4">
        <v>1</v>
      </c>
      <c r="F62" s="4" t="s">
        <v>45</v>
      </c>
      <c r="G62" s="4" t="s">
        <v>43</v>
      </c>
      <c r="H62" s="4" t="s">
        <v>35</v>
      </c>
      <c r="I62" s="4">
        <v>1</v>
      </c>
      <c r="J62" s="4" t="s">
        <v>44</v>
      </c>
      <c r="K62" s="4" t="s">
        <v>34</v>
      </c>
      <c r="L62" s="4">
        <v>45</v>
      </c>
      <c r="M62" s="4" t="s">
        <v>35</v>
      </c>
      <c r="N62" s="4">
        <f t="shared" si="2"/>
        <v>833.33333333333337</v>
      </c>
      <c r="O62" s="4" t="str">
        <f t="shared" si="3"/>
        <v>Less Income</v>
      </c>
      <c r="P62" s="4" t="str">
        <f t="shared" si="4"/>
        <v>No</v>
      </c>
    </row>
    <row r="63" spans="1:16" ht="14.25" customHeight="1" x14ac:dyDescent="0.35">
      <c r="A63" s="4">
        <v>19291</v>
      </c>
      <c r="B63" s="4" t="s">
        <v>40</v>
      </c>
      <c r="C63" s="4" t="s">
        <v>29</v>
      </c>
      <c r="D63" s="5">
        <v>10000</v>
      </c>
      <c r="E63" s="4">
        <v>2</v>
      </c>
      <c r="F63" s="4" t="s">
        <v>45</v>
      </c>
      <c r="G63" s="4" t="s">
        <v>43</v>
      </c>
      <c r="H63" s="4" t="s">
        <v>32</v>
      </c>
      <c r="I63" s="4">
        <v>0</v>
      </c>
      <c r="J63" s="4" t="s">
        <v>33</v>
      </c>
      <c r="K63" s="4" t="s">
        <v>34</v>
      </c>
      <c r="L63" s="4">
        <v>35</v>
      </c>
      <c r="M63" s="4" t="s">
        <v>35</v>
      </c>
      <c r="N63" s="4">
        <f t="shared" si="2"/>
        <v>833.33333333333337</v>
      </c>
      <c r="O63" s="4" t="str">
        <f t="shared" si="3"/>
        <v>Less Income</v>
      </c>
      <c r="P63" s="4" t="str">
        <f t="shared" si="4"/>
        <v>No</v>
      </c>
    </row>
    <row r="64" spans="1:16" ht="14.25" customHeight="1" x14ac:dyDescent="0.35">
      <c r="A64" s="4">
        <v>16713</v>
      </c>
      <c r="B64" s="4" t="s">
        <v>28</v>
      </c>
      <c r="C64" s="4" t="s">
        <v>28</v>
      </c>
      <c r="D64" s="5">
        <v>40000</v>
      </c>
      <c r="E64" s="4">
        <v>2</v>
      </c>
      <c r="F64" s="4" t="s">
        <v>30</v>
      </c>
      <c r="G64" s="4" t="s">
        <v>46</v>
      </c>
      <c r="H64" s="4" t="s">
        <v>32</v>
      </c>
      <c r="I64" s="4">
        <v>1</v>
      </c>
      <c r="J64" s="4" t="s">
        <v>33</v>
      </c>
      <c r="K64" s="4" t="s">
        <v>42</v>
      </c>
      <c r="L64" s="4">
        <v>52</v>
      </c>
      <c r="M64" s="4" t="s">
        <v>32</v>
      </c>
      <c r="N64" s="4">
        <f t="shared" si="2"/>
        <v>3333.3333333333335</v>
      </c>
      <c r="O64" s="4" t="str">
        <f t="shared" si="3"/>
        <v>Less Income</v>
      </c>
      <c r="P64" s="4" t="str">
        <f t="shared" si="4"/>
        <v>No</v>
      </c>
    </row>
    <row r="65" spans="1:16" ht="14.25" customHeight="1" x14ac:dyDescent="0.35">
      <c r="A65" s="4">
        <v>16185</v>
      </c>
      <c r="B65" s="4" t="s">
        <v>40</v>
      </c>
      <c r="C65" s="4" t="s">
        <v>28</v>
      </c>
      <c r="D65" s="5">
        <v>60000</v>
      </c>
      <c r="E65" s="4">
        <v>4</v>
      </c>
      <c r="F65" s="4" t="s">
        <v>30</v>
      </c>
      <c r="G65" s="4" t="s">
        <v>38</v>
      </c>
      <c r="H65" s="4" t="s">
        <v>32</v>
      </c>
      <c r="I65" s="4">
        <v>3</v>
      </c>
      <c r="J65" s="4" t="s">
        <v>48</v>
      </c>
      <c r="K65" s="4" t="s">
        <v>42</v>
      </c>
      <c r="L65" s="4">
        <v>41</v>
      </c>
      <c r="M65" s="4" t="s">
        <v>35</v>
      </c>
      <c r="N65" s="4">
        <f t="shared" si="2"/>
        <v>5000</v>
      </c>
      <c r="O65" s="4" t="str">
        <f t="shared" si="3"/>
        <v>Less Income</v>
      </c>
      <c r="P65" s="4" t="str">
        <f t="shared" si="4"/>
        <v>No</v>
      </c>
    </row>
    <row r="66" spans="1:16" ht="14.25" customHeight="1" x14ac:dyDescent="0.35">
      <c r="A66" s="4">
        <v>14927</v>
      </c>
      <c r="B66" s="4" t="s">
        <v>28</v>
      </c>
      <c r="C66" s="4" t="s">
        <v>29</v>
      </c>
      <c r="D66" s="5">
        <v>30000</v>
      </c>
      <c r="E66" s="4">
        <v>1</v>
      </c>
      <c r="F66" s="4" t="s">
        <v>30</v>
      </c>
      <c r="G66" s="4" t="s">
        <v>37</v>
      </c>
      <c r="H66" s="4" t="s">
        <v>32</v>
      </c>
      <c r="I66" s="4">
        <v>0</v>
      </c>
      <c r="J66" s="4" t="s">
        <v>33</v>
      </c>
      <c r="K66" s="4" t="s">
        <v>34</v>
      </c>
      <c r="L66" s="4">
        <v>37</v>
      </c>
      <c r="M66" s="4" t="s">
        <v>32</v>
      </c>
      <c r="N66" s="4">
        <f t="shared" si="2"/>
        <v>2500</v>
      </c>
      <c r="O66" s="4" t="str">
        <f t="shared" ref="O66:O97" si="5">IF(D66&gt;70000, "High Income", "Less Income")</f>
        <v>Less Income</v>
      </c>
      <c r="P66" s="4" t="str">
        <f t="shared" ref="P66:P97" si="6">IF(AND(D66&gt;70000,L66&lt;40), "Yes", "No")</f>
        <v>No</v>
      </c>
    </row>
    <row r="67" spans="1:16" ht="14.25" customHeight="1" x14ac:dyDescent="0.35">
      <c r="A67" s="4">
        <v>29337</v>
      </c>
      <c r="B67" s="4" t="s">
        <v>40</v>
      </c>
      <c r="C67" s="4" t="s">
        <v>28</v>
      </c>
      <c r="D67" s="5">
        <v>30000</v>
      </c>
      <c r="E67" s="4">
        <v>2</v>
      </c>
      <c r="F67" s="4" t="s">
        <v>36</v>
      </c>
      <c r="G67" s="4" t="s">
        <v>37</v>
      </c>
      <c r="H67" s="4" t="s">
        <v>32</v>
      </c>
      <c r="I67" s="4">
        <v>2</v>
      </c>
      <c r="J67" s="4" t="s">
        <v>41</v>
      </c>
      <c r="K67" s="4" t="s">
        <v>42</v>
      </c>
      <c r="L67" s="4">
        <v>68</v>
      </c>
      <c r="M67" s="4" t="s">
        <v>35</v>
      </c>
      <c r="N67" s="4">
        <f t="shared" ref="N67:N130" si="7">D67/12</f>
        <v>2500</v>
      </c>
      <c r="O67" s="4" t="str">
        <f t="shared" si="5"/>
        <v>Less Income</v>
      </c>
      <c r="P67" s="4" t="str">
        <f t="shared" si="6"/>
        <v>No</v>
      </c>
    </row>
    <row r="68" spans="1:16" ht="14.25" customHeight="1" x14ac:dyDescent="0.35">
      <c r="A68" s="4">
        <v>29355</v>
      </c>
      <c r="B68" s="4" t="s">
        <v>28</v>
      </c>
      <c r="C68" s="4" t="s">
        <v>29</v>
      </c>
      <c r="D68" s="5">
        <v>40000</v>
      </c>
      <c r="E68" s="4">
        <v>0</v>
      </c>
      <c r="F68" s="4" t="s">
        <v>49</v>
      </c>
      <c r="G68" s="4" t="s">
        <v>37</v>
      </c>
      <c r="H68" s="4" t="s">
        <v>32</v>
      </c>
      <c r="I68" s="4">
        <v>0</v>
      </c>
      <c r="J68" s="4" t="s">
        <v>33</v>
      </c>
      <c r="K68" s="4" t="s">
        <v>34</v>
      </c>
      <c r="L68" s="4">
        <v>37</v>
      </c>
      <c r="M68" s="4" t="s">
        <v>32</v>
      </c>
      <c r="N68" s="4">
        <f t="shared" si="7"/>
        <v>3333.3333333333335</v>
      </c>
      <c r="O68" s="4" t="str">
        <f t="shared" si="5"/>
        <v>Less Income</v>
      </c>
      <c r="P68" s="4" t="str">
        <f t="shared" si="6"/>
        <v>No</v>
      </c>
    </row>
    <row r="69" spans="1:16" ht="14.25" customHeight="1" x14ac:dyDescent="0.35">
      <c r="A69" s="4">
        <v>25303</v>
      </c>
      <c r="B69" s="4" t="s">
        <v>40</v>
      </c>
      <c r="C69" s="4" t="s">
        <v>28</v>
      </c>
      <c r="D69" s="5">
        <v>30000</v>
      </c>
      <c r="E69" s="4">
        <v>0</v>
      </c>
      <c r="F69" s="4" t="s">
        <v>45</v>
      </c>
      <c r="G69" s="4" t="s">
        <v>43</v>
      </c>
      <c r="H69" s="4" t="s">
        <v>32</v>
      </c>
      <c r="I69" s="4">
        <v>1</v>
      </c>
      <c r="J69" s="4" t="s">
        <v>39</v>
      </c>
      <c r="K69" s="4" t="s">
        <v>34</v>
      </c>
      <c r="L69" s="4">
        <v>33</v>
      </c>
      <c r="M69" s="4" t="s">
        <v>32</v>
      </c>
      <c r="N69" s="4">
        <f t="shared" si="7"/>
        <v>2500</v>
      </c>
      <c r="O69" s="4" t="str">
        <f t="shared" si="5"/>
        <v>Less Income</v>
      </c>
      <c r="P69" s="4" t="str">
        <f t="shared" si="6"/>
        <v>No</v>
      </c>
    </row>
    <row r="70" spans="1:16" ht="14.25" customHeight="1" x14ac:dyDescent="0.35">
      <c r="A70" s="4">
        <v>14813</v>
      </c>
      <c r="B70" s="4" t="s">
        <v>40</v>
      </c>
      <c r="C70" s="4" t="s">
        <v>29</v>
      </c>
      <c r="D70" s="5">
        <v>20000</v>
      </c>
      <c r="E70" s="4">
        <v>4</v>
      </c>
      <c r="F70" s="4" t="s">
        <v>45</v>
      </c>
      <c r="G70" s="4" t="s">
        <v>43</v>
      </c>
      <c r="H70" s="4" t="s">
        <v>32</v>
      </c>
      <c r="I70" s="4">
        <v>1</v>
      </c>
      <c r="J70" s="4" t="s">
        <v>33</v>
      </c>
      <c r="K70" s="4" t="s">
        <v>34</v>
      </c>
      <c r="L70" s="4">
        <v>43</v>
      </c>
      <c r="M70" s="4" t="s">
        <v>32</v>
      </c>
      <c r="N70" s="4">
        <f t="shared" si="7"/>
        <v>1666.6666666666667</v>
      </c>
      <c r="O70" s="4" t="str">
        <f t="shared" si="5"/>
        <v>Less Income</v>
      </c>
      <c r="P70" s="4" t="str">
        <f t="shared" si="6"/>
        <v>No</v>
      </c>
    </row>
    <row r="71" spans="1:16" ht="14.25" customHeight="1" x14ac:dyDescent="0.35">
      <c r="A71" s="4">
        <v>16438</v>
      </c>
      <c r="B71" s="4" t="s">
        <v>28</v>
      </c>
      <c r="C71" s="4" t="s">
        <v>29</v>
      </c>
      <c r="D71" s="5">
        <v>10000</v>
      </c>
      <c r="E71" s="4">
        <v>0</v>
      </c>
      <c r="F71" s="4" t="s">
        <v>47</v>
      </c>
      <c r="G71" s="4" t="s">
        <v>43</v>
      </c>
      <c r="H71" s="4" t="s">
        <v>35</v>
      </c>
      <c r="I71" s="4">
        <v>2</v>
      </c>
      <c r="J71" s="4" t="s">
        <v>33</v>
      </c>
      <c r="K71" s="4" t="s">
        <v>34</v>
      </c>
      <c r="L71" s="4">
        <v>30</v>
      </c>
      <c r="M71" s="4" t="s">
        <v>35</v>
      </c>
      <c r="N71" s="4">
        <f t="shared" si="7"/>
        <v>833.33333333333337</v>
      </c>
      <c r="O71" s="4" t="str">
        <f t="shared" si="5"/>
        <v>Less Income</v>
      </c>
      <c r="P71" s="4" t="str">
        <f t="shared" si="6"/>
        <v>No</v>
      </c>
    </row>
    <row r="72" spans="1:16" ht="14.25" customHeight="1" x14ac:dyDescent="0.35">
      <c r="A72" s="4">
        <v>14238</v>
      </c>
      <c r="B72" s="4" t="s">
        <v>28</v>
      </c>
      <c r="C72" s="4" t="s">
        <v>28</v>
      </c>
      <c r="D72" s="5">
        <v>120000</v>
      </c>
      <c r="E72" s="4">
        <v>0</v>
      </c>
      <c r="F72" s="4" t="s">
        <v>47</v>
      </c>
      <c r="G72" s="4" t="s">
        <v>38</v>
      </c>
      <c r="H72" s="4" t="s">
        <v>32</v>
      </c>
      <c r="I72" s="4">
        <v>4</v>
      </c>
      <c r="J72" s="4" t="s">
        <v>48</v>
      </c>
      <c r="K72" s="4" t="s">
        <v>42</v>
      </c>
      <c r="L72" s="4">
        <v>36</v>
      </c>
      <c r="M72" s="4" t="s">
        <v>32</v>
      </c>
      <c r="N72" s="4">
        <f t="shared" si="7"/>
        <v>10000</v>
      </c>
      <c r="O72" s="4" t="str">
        <f t="shared" si="5"/>
        <v>High Income</v>
      </c>
      <c r="P72" s="4" t="str">
        <f t="shared" si="6"/>
        <v>Yes</v>
      </c>
    </row>
    <row r="73" spans="1:16" ht="14.25" customHeight="1" x14ac:dyDescent="0.35">
      <c r="A73" s="4">
        <v>16200</v>
      </c>
      <c r="B73" s="4" t="s">
        <v>40</v>
      </c>
      <c r="C73" s="4" t="s">
        <v>29</v>
      </c>
      <c r="D73" s="5">
        <v>10000</v>
      </c>
      <c r="E73" s="4">
        <v>0</v>
      </c>
      <c r="F73" s="4" t="s">
        <v>47</v>
      </c>
      <c r="G73" s="4" t="s">
        <v>43</v>
      </c>
      <c r="H73" s="4" t="s">
        <v>35</v>
      </c>
      <c r="I73" s="4">
        <v>2</v>
      </c>
      <c r="J73" s="4" t="s">
        <v>33</v>
      </c>
      <c r="K73" s="4" t="s">
        <v>34</v>
      </c>
      <c r="L73" s="4">
        <v>35</v>
      </c>
      <c r="M73" s="4" t="s">
        <v>35</v>
      </c>
      <c r="N73" s="4">
        <f t="shared" si="7"/>
        <v>833.33333333333337</v>
      </c>
      <c r="O73" s="4" t="str">
        <f t="shared" si="5"/>
        <v>Less Income</v>
      </c>
      <c r="P73" s="4" t="str">
        <f t="shared" si="6"/>
        <v>No</v>
      </c>
    </row>
    <row r="74" spans="1:16" ht="14.25" customHeight="1" x14ac:dyDescent="0.35">
      <c r="A74" s="4">
        <v>24857</v>
      </c>
      <c r="B74" s="4" t="s">
        <v>28</v>
      </c>
      <c r="C74" s="4" t="s">
        <v>29</v>
      </c>
      <c r="D74" s="5">
        <v>130000</v>
      </c>
      <c r="E74" s="4">
        <v>3</v>
      </c>
      <c r="F74" s="4" t="s">
        <v>45</v>
      </c>
      <c r="G74" s="4" t="s">
        <v>38</v>
      </c>
      <c r="H74" s="4" t="s">
        <v>32</v>
      </c>
      <c r="I74" s="4">
        <v>4</v>
      </c>
      <c r="J74" s="4" t="s">
        <v>33</v>
      </c>
      <c r="K74" s="4" t="s">
        <v>34</v>
      </c>
      <c r="L74" s="4">
        <v>52</v>
      </c>
      <c r="M74" s="4" t="s">
        <v>35</v>
      </c>
      <c r="N74" s="4">
        <f t="shared" si="7"/>
        <v>10833.333333333334</v>
      </c>
      <c r="O74" s="4" t="str">
        <f t="shared" si="5"/>
        <v>High Income</v>
      </c>
      <c r="P74" s="4" t="str">
        <f t="shared" si="6"/>
        <v>No</v>
      </c>
    </row>
    <row r="75" spans="1:16" ht="14.25" customHeight="1" x14ac:dyDescent="0.35">
      <c r="A75" s="4">
        <v>26956</v>
      </c>
      <c r="B75" s="4" t="s">
        <v>40</v>
      </c>
      <c r="C75" s="4" t="s">
        <v>29</v>
      </c>
      <c r="D75" s="5">
        <v>20000</v>
      </c>
      <c r="E75" s="4">
        <v>0</v>
      </c>
      <c r="F75" s="4" t="s">
        <v>36</v>
      </c>
      <c r="G75" s="4" t="s">
        <v>43</v>
      </c>
      <c r="H75" s="4" t="s">
        <v>35</v>
      </c>
      <c r="I75" s="4">
        <v>1</v>
      </c>
      <c r="J75" s="4" t="s">
        <v>39</v>
      </c>
      <c r="K75" s="4" t="s">
        <v>34</v>
      </c>
      <c r="L75" s="4">
        <v>36</v>
      </c>
      <c r="M75" s="4" t="s">
        <v>32</v>
      </c>
      <c r="N75" s="4">
        <f t="shared" si="7"/>
        <v>1666.6666666666667</v>
      </c>
      <c r="O75" s="4" t="str">
        <f t="shared" si="5"/>
        <v>Less Income</v>
      </c>
      <c r="P75" s="4" t="str">
        <f t="shared" si="6"/>
        <v>No</v>
      </c>
    </row>
    <row r="76" spans="1:16" ht="14.25" customHeight="1" x14ac:dyDescent="0.35">
      <c r="A76" s="4">
        <v>14517</v>
      </c>
      <c r="B76" s="4" t="s">
        <v>28</v>
      </c>
      <c r="C76" s="4" t="s">
        <v>29</v>
      </c>
      <c r="D76" s="5">
        <v>20000</v>
      </c>
      <c r="E76" s="4">
        <v>3</v>
      </c>
      <c r="F76" s="4" t="s">
        <v>45</v>
      </c>
      <c r="G76" s="4" t="s">
        <v>31</v>
      </c>
      <c r="H76" s="4" t="s">
        <v>35</v>
      </c>
      <c r="I76" s="4">
        <v>2</v>
      </c>
      <c r="J76" s="4" t="s">
        <v>44</v>
      </c>
      <c r="K76" s="4" t="s">
        <v>42</v>
      </c>
      <c r="L76" s="4">
        <v>62</v>
      </c>
      <c r="M76" s="4" t="s">
        <v>35</v>
      </c>
      <c r="N76" s="4">
        <f t="shared" si="7"/>
        <v>1666.6666666666667</v>
      </c>
      <c r="O76" s="4" t="str">
        <f t="shared" si="5"/>
        <v>Less Income</v>
      </c>
      <c r="P76" s="4" t="str">
        <f t="shared" si="6"/>
        <v>No</v>
      </c>
    </row>
    <row r="77" spans="1:16" ht="14.25" customHeight="1" x14ac:dyDescent="0.35">
      <c r="A77" s="4">
        <v>12678</v>
      </c>
      <c r="B77" s="4" t="s">
        <v>40</v>
      </c>
      <c r="C77" s="4" t="s">
        <v>29</v>
      </c>
      <c r="D77" s="5">
        <v>130000</v>
      </c>
      <c r="E77" s="4">
        <v>4</v>
      </c>
      <c r="F77" s="4" t="s">
        <v>45</v>
      </c>
      <c r="G77" s="4" t="s">
        <v>46</v>
      </c>
      <c r="H77" s="4" t="s">
        <v>32</v>
      </c>
      <c r="I77" s="4">
        <v>4</v>
      </c>
      <c r="J77" s="4" t="s">
        <v>33</v>
      </c>
      <c r="K77" s="4" t="s">
        <v>42</v>
      </c>
      <c r="L77" s="4">
        <v>31</v>
      </c>
      <c r="M77" s="4" t="s">
        <v>35</v>
      </c>
      <c r="N77" s="4">
        <f t="shared" si="7"/>
        <v>10833.333333333334</v>
      </c>
      <c r="O77" s="4" t="str">
        <f t="shared" si="5"/>
        <v>High Income</v>
      </c>
      <c r="P77" s="4" t="str">
        <f t="shared" si="6"/>
        <v>Yes</v>
      </c>
    </row>
    <row r="78" spans="1:16" ht="14.25" customHeight="1" x14ac:dyDescent="0.35">
      <c r="A78" s="4">
        <v>16188</v>
      </c>
      <c r="B78" s="4" t="s">
        <v>40</v>
      </c>
      <c r="C78" s="4" t="s">
        <v>29</v>
      </c>
      <c r="D78" s="5">
        <v>20000</v>
      </c>
      <c r="E78" s="4">
        <v>0</v>
      </c>
      <c r="F78" s="4" t="s">
        <v>47</v>
      </c>
      <c r="G78" s="4" t="s">
        <v>43</v>
      </c>
      <c r="H78" s="4" t="s">
        <v>35</v>
      </c>
      <c r="I78" s="4">
        <v>2</v>
      </c>
      <c r="J78" s="4" t="s">
        <v>44</v>
      </c>
      <c r="K78" s="4" t="s">
        <v>34</v>
      </c>
      <c r="L78" s="4">
        <v>26</v>
      </c>
      <c r="M78" s="4" t="s">
        <v>35</v>
      </c>
      <c r="N78" s="4">
        <f t="shared" si="7"/>
        <v>1666.6666666666667</v>
      </c>
      <c r="O78" s="4" t="str">
        <f t="shared" si="5"/>
        <v>Less Income</v>
      </c>
      <c r="P78" s="4" t="str">
        <f t="shared" si="6"/>
        <v>No</v>
      </c>
    </row>
    <row r="79" spans="1:16" ht="14.25" customHeight="1" x14ac:dyDescent="0.35">
      <c r="A79" s="4">
        <v>27969</v>
      </c>
      <c r="B79" s="4" t="s">
        <v>28</v>
      </c>
      <c r="C79" s="4" t="s">
        <v>28</v>
      </c>
      <c r="D79" s="5">
        <v>80000</v>
      </c>
      <c r="E79" s="4">
        <v>0</v>
      </c>
      <c r="F79" s="4" t="s">
        <v>30</v>
      </c>
      <c r="G79" s="4" t="s">
        <v>38</v>
      </c>
      <c r="H79" s="4" t="s">
        <v>32</v>
      </c>
      <c r="I79" s="4">
        <v>2</v>
      </c>
      <c r="J79" s="4" t="s">
        <v>48</v>
      </c>
      <c r="K79" s="4" t="s">
        <v>42</v>
      </c>
      <c r="L79" s="4">
        <v>29</v>
      </c>
      <c r="M79" s="4" t="s">
        <v>32</v>
      </c>
      <c r="N79" s="4">
        <f t="shared" si="7"/>
        <v>6666.666666666667</v>
      </c>
      <c r="O79" s="4" t="str">
        <f t="shared" si="5"/>
        <v>High Income</v>
      </c>
      <c r="P79" s="4" t="str">
        <f t="shared" si="6"/>
        <v>Yes</v>
      </c>
    </row>
    <row r="80" spans="1:16" ht="14.25" customHeight="1" x14ac:dyDescent="0.35">
      <c r="A80" s="4">
        <v>15752</v>
      </c>
      <c r="B80" s="4" t="s">
        <v>28</v>
      </c>
      <c r="C80" s="4" t="s">
        <v>28</v>
      </c>
      <c r="D80" s="5">
        <v>80000</v>
      </c>
      <c r="E80" s="4">
        <v>2</v>
      </c>
      <c r="F80" s="4" t="s">
        <v>45</v>
      </c>
      <c r="G80" s="4" t="s">
        <v>31</v>
      </c>
      <c r="H80" s="4" t="s">
        <v>35</v>
      </c>
      <c r="I80" s="4">
        <v>2</v>
      </c>
      <c r="J80" s="4" t="s">
        <v>44</v>
      </c>
      <c r="K80" s="4" t="s">
        <v>42</v>
      </c>
      <c r="L80" s="4">
        <v>50</v>
      </c>
      <c r="M80" s="4" t="s">
        <v>32</v>
      </c>
      <c r="N80" s="4">
        <f t="shared" si="7"/>
        <v>6666.666666666667</v>
      </c>
      <c r="O80" s="4" t="str">
        <f t="shared" si="5"/>
        <v>High Income</v>
      </c>
      <c r="P80" s="4" t="str">
        <f t="shared" si="6"/>
        <v>No</v>
      </c>
    </row>
    <row r="81" spans="1:16" ht="14.25" customHeight="1" x14ac:dyDescent="0.35">
      <c r="A81" s="4">
        <v>27745</v>
      </c>
      <c r="B81" s="4" t="s">
        <v>40</v>
      </c>
      <c r="C81" s="4" t="s">
        <v>28</v>
      </c>
      <c r="D81" s="5">
        <v>40000</v>
      </c>
      <c r="E81" s="4">
        <v>2</v>
      </c>
      <c r="F81" s="4" t="s">
        <v>30</v>
      </c>
      <c r="G81" s="4" t="s">
        <v>46</v>
      </c>
      <c r="H81" s="4" t="s">
        <v>32</v>
      </c>
      <c r="I81" s="4">
        <v>2</v>
      </c>
      <c r="J81" s="4" t="s">
        <v>41</v>
      </c>
      <c r="K81" s="4" t="s">
        <v>42</v>
      </c>
      <c r="L81" s="4">
        <v>63</v>
      </c>
      <c r="M81" s="4" t="s">
        <v>32</v>
      </c>
      <c r="N81" s="4">
        <f t="shared" si="7"/>
        <v>3333.3333333333335</v>
      </c>
      <c r="O81" s="4" t="str">
        <f t="shared" si="5"/>
        <v>Less Income</v>
      </c>
      <c r="P81" s="4" t="str">
        <f t="shared" si="6"/>
        <v>No</v>
      </c>
    </row>
    <row r="82" spans="1:16" ht="14.25" customHeight="1" x14ac:dyDescent="0.35">
      <c r="A82" s="4">
        <v>20828</v>
      </c>
      <c r="B82" s="4" t="s">
        <v>28</v>
      </c>
      <c r="C82" s="4" t="s">
        <v>29</v>
      </c>
      <c r="D82" s="5">
        <v>30000</v>
      </c>
      <c r="E82" s="4">
        <v>4</v>
      </c>
      <c r="F82" s="4" t="s">
        <v>49</v>
      </c>
      <c r="G82" s="4" t="s">
        <v>37</v>
      </c>
      <c r="H82" s="4" t="s">
        <v>32</v>
      </c>
      <c r="I82" s="4">
        <v>0</v>
      </c>
      <c r="J82" s="4" t="s">
        <v>33</v>
      </c>
      <c r="K82" s="4" t="s">
        <v>34</v>
      </c>
      <c r="L82" s="4">
        <v>45</v>
      </c>
      <c r="M82" s="4" t="s">
        <v>32</v>
      </c>
      <c r="N82" s="4">
        <f t="shared" si="7"/>
        <v>2500</v>
      </c>
      <c r="O82" s="4" t="str">
        <f t="shared" si="5"/>
        <v>Less Income</v>
      </c>
      <c r="P82" s="4" t="str">
        <f t="shared" si="6"/>
        <v>No</v>
      </c>
    </row>
    <row r="83" spans="1:16" ht="14.25" customHeight="1" x14ac:dyDescent="0.35">
      <c r="A83" s="4">
        <v>19461</v>
      </c>
      <c r="B83" s="4" t="s">
        <v>40</v>
      </c>
      <c r="C83" s="4" t="s">
        <v>29</v>
      </c>
      <c r="D83" s="5">
        <v>10000</v>
      </c>
      <c r="E83" s="4">
        <v>4</v>
      </c>
      <c r="F83" s="4" t="s">
        <v>47</v>
      </c>
      <c r="G83" s="4" t="s">
        <v>43</v>
      </c>
      <c r="H83" s="4" t="s">
        <v>32</v>
      </c>
      <c r="I83" s="4">
        <v>2</v>
      </c>
      <c r="J83" s="4" t="s">
        <v>33</v>
      </c>
      <c r="K83" s="4" t="s">
        <v>34</v>
      </c>
      <c r="L83" s="4">
        <v>40</v>
      </c>
      <c r="M83" s="4" t="s">
        <v>35</v>
      </c>
      <c r="N83" s="4">
        <f t="shared" si="7"/>
        <v>833.33333333333337</v>
      </c>
      <c r="O83" s="4" t="str">
        <f t="shared" si="5"/>
        <v>Less Income</v>
      </c>
      <c r="P83" s="4" t="str">
        <f t="shared" si="6"/>
        <v>No</v>
      </c>
    </row>
    <row r="84" spans="1:16" ht="14.25" customHeight="1" x14ac:dyDescent="0.35">
      <c r="A84" s="4">
        <v>26941</v>
      </c>
      <c r="B84" s="4" t="s">
        <v>28</v>
      </c>
      <c r="C84" s="4" t="s">
        <v>28</v>
      </c>
      <c r="D84" s="5">
        <v>30000</v>
      </c>
      <c r="E84" s="4">
        <v>0</v>
      </c>
      <c r="F84" s="4" t="s">
        <v>30</v>
      </c>
      <c r="G84" s="4" t="s">
        <v>37</v>
      </c>
      <c r="H84" s="4" t="s">
        <v>32</v>
      </c>
      <c r="I84" s="4">
        <v>0</v>
      </c>
      <c r="J84" s="4" t="s">
        <v>33</v>
      </c>
      <c r="K84" s="4" t="s">
        <v>34</v>
      </c>
      <c r="L84" s="4">
        <v>47</v>
      </c>
      <c r="M84" s="4" t="s">
        <v>32</v>
      </c>
      <c r="N84" s="4">
        <f t="shared" si="7"/>
        <v>2500</v>
      </c>
      <c r="O84" s="4" t="str">
        <f t="shared" si="5"/>
        <v>Less Income</v>
      </c>
      <c r="P84" s="4" t="str">
        <f t="shared" si="6"/>
        <v>No</v>
      </c>
    </row>
    <row r="85" spans="1:16" ht="14.25" customHeight="1" x14ac:dyDescent="0.35">
      <c r="A85" s="4">
        <v>28412</v>
      </c>
      <c r="B85" s="4" t="s">
        <v>40</v>
      </c>
      <c r="C85" s="4" t="s">
        <v>28</v>
      </c>
      <c r="D85" s="5">
        <v>20000</v>
      </c>
      <c r="E85" s="4">
        <v>0</v>
      </c>
      <c r="F85" s="4" t="s">
        <v>45</v>
      </c>
      <c r="G85" s="4" t="s">
        <v>43</v>
      </c>
      <c r="H85" s="4" t="s">
        <v>35</v>
      </c>
      <c r="I85" s="4">
        <v>1</v>
      </c>
      <c r="J85" s="4" t="s">
        <v>39</v>
      </c>
      <c r="K85" s="4" t="s">
        <v>34</v>
      </c>
      <c r="L85" s="4">
        <v>29</v>
      </c>
      <c r="M85" s="4" t="s">
        <v>35</v>
      </c>
      <c r="N85" s="4">
        <f t="shared" si="7"/>
        <v>1666.6666666666667</v>
      </c>
      <c r="O85" s="4" t="str">
        <f t="shared" si="5"/>
        <v>Less Income</v>
      </c>
      <c r="P85" s="4" t="str">
        <f t="shared" si="6"/>
        <v>No</v>
      </c>
    </row>
    <row r="86" spans="1:16" ht="14.25" customHeight="1" x14ac:dyDescent="0.35">
      <c r="A86" s="4">
        <v>24485</v>
      </c>
      <c r="B86" s="4" t="s">
        <v>40</v>
      </c>
      <c r="C86" s="4" t="s">
        <v>28</v>
      </c>
      <c r="D86" s="5">
        <v>40000</v>
      </c>
      <c r="E86" s="4">
        <v>2</v>
      </c>
      <c r="F86" s="4" t="s">
        <v>30</v>
      </c>
      <c r="G86" s="4" t="s">
        <v>46</v>
      </c>
      <c r="H86" s="4" t="s">
        <v>35</v>
      </c>
      <c r="I86" s="4">
        <v>1</v>
      </c>
      <c r="J86" s="4" t="s">
        <v>41</v>
      </c>
      <c r="K86" s="4" t="s">
        <v>42</v>
      </c>
      <c r="L86" s="4">
        <v>52</v>
      </c>
      <c r="M86" s="4" t="s">
        <v>32</v>
      </c>
      <c r="N86" s="4">
        <f t="shared" si="7"/>
        <v>3333.3333333333335</v>
      </c>
      <c r="O86" s="4" t="str">
        <f t="shared" si="5"/>
        <v>Less Income</v>
      </c>
      <c r="P86" s="4" t="str">
        <f t="shared" si="6"/>
        <v>No</v>
      </c>
    </row>
    <row r="87" spans="1:16" ht="14.25" customHeight="1" x14ac:dyDescent="0.35">
      <c r="A87" s="4">
        <v>16514</v>
      </c>
      <c r="B87" s="4" t="s">
        <v>40</v>
      </c>
      <c r="C87" s="4" t="s">
        <v>28</v>
      </c>
      <c r="D87" s="5">
        <v>10000</v>
      </c>
      <c r="E87" s="4">
        <v>0</v>
      </c>
      <c r="F87" s="4" t="s">
        <v>36</v>
      </c>
      <c r="G87" s="4" t="s">
        <v>43</v>
      </c>
      <c r="H87" s="4" t="s">
        <v>32</v>
      </c>
      <c r="I87" s="4">
        <v>1</v>
      </c>
      <c r="J87" s="4" t="s">
        <v>44</v>
      </c>
      <c r="K87" s="4" t="s">
        <v>42</v>
      </c>
      <c r="L87" s="4">
        <v>26</v>
      </c>
      <c r="M87" s="4" t="s">
        <v>32</v>
      </c>
      <c r="N87" s="4">
        <f t="shared" si="7"/>
        <v>833.33333333333337</v>
      </c>
      <c r="O87" s="4" t="str">
        <f t="shared" si="5"/>
        <v>Less Income</v>
      </c>
      <c r="P87" s="4" t="str">
        <f t="shared" si="6"/>
        <v>No</v>
      </c>
    </row>
    <row r="88" spans="1:16" ht="14.25" customHeight="1" x14ac:dyDescent="0.35">
      <c r="A88" s="4">
        <v>17191</v>
      </c>
      <c r="B88" s="4" t="s">
        <v>40</v>
      </c>
      <c r="C88" s="4" t="s">
        <v>28</v>
      </c>
      <c r="D88" s="5">
        <v>130000</v>
      </c>
      <c r="E88" s="4">
        <v>3</v>
      </c>
      <c r="F88" s="4" t="s">
        <v>36</v>
      </c>
      <c r="G88" s="4" t="s">
        <v>38</v>
      </c>
      <c r="H88" s="4" t="s">
        <v>35</v>
      </c>
      <c r="I88" s="4">
        <v>3</v>
      </c>
      <c r="J88" s="4" t="s">
        <v>33</v>
      </c>
      <c r="K88" s="4" t="s">
        <v>34</v>
      </c>
      <c r="L88" s="4">
        <v>51</v>
      </c>
      <c r="M88" s="4" t="s">
        <v>32</v>
      </c>
      <c r="N88" s="4">
        <f t="shared" si="7"/>
        <v>10833.333333333334</v>
      </c>
      <c r="O88" s="4" t="str">
        <f t="shared" si="5"/>
        <v>High Income</v>
      </c>
      <c r="P88" s="4" t="str">
        <f t="shared" si="6"/>
        <v>No</v>
      </c>
    </row>
    <row r="89" spans="1:16" ht="14.25" customHeight="1" x14ac:dyDescent="0.35">
      <c r="A89" s="4">
        <v>19608</v>
      </c>
      <c r="B89" s="4" t="s">
        <v>28</v>
      </c>
      <c r="C89" s="4" t="s">
        <v>28</v>
      </c>
      <c r="D89" s="5">
        <v>80000</v>
      </c>
      <c r="E89" s="4">
        <v>5</v>
      </c>
      <c r="F89" s="4" t="s">
        <v>30</v>
      </c>
      <c r="G89" s="4" t="s">
        <v>38</v>
      </c>
      <c r="H89" s="4" t="s">
        <v>32</v>
      </c>
      <c r="I89" s="4">
        <v>4</v>
      </c>
      <c r="J89" s="4" t="s">
        <v>44</v>
      </c>
      <c r="K89" s="4" t="s">
        <v>42</v>
      </c>
      <c r="L89" s="4">
        <v>40</v>
      </c>
      <c r="M89" s="4" t="s">
        <v>35</v>
      </c>
      <c r="N89" s="4">
        <f t="shared" si="7"/>
        <v>6666.666666666667</v>
      </c>
      <c r="O89" s="4" t="str">
        <f t="shared" si="5"/>
        <v>High Income</v>
      </c>
      <c r="P89" s="4" t="str">
        <f t="shared" si="6"/>
        <v>No</v>
      </c>
    </row>
    <row r="90" spans="1:16" ht="14.25" customHeight="1" x14ac:dyDescent="0.35">
      <c r="A90" s="4">
        <v>24119</v>
      </c>
      <c r="B90" s="4" t="s">
        <v>40</v>
      </c>
      <c r="C90" s="4" t="s">
        <v>28</v>
      </c>
      <c r="D90" s="5">
        <v>30000</v>
      </c>
      <c r="E90" s="4">
        <v>0</v>
      </c>
      <c r="F90" s="4" t="s">
        <v>36</v>
      </c>
      <c r="G90" s="4" t="s">
        <v>37</v>
      </c>
      <c r="H90" s="4" t="s">
        <v>35</v>
      </c>
      <c r="I90" s="4">
        <v>1</v>
      </c>
      <c r="J90" s="4" t="s">
        <v>39</v>
      </c>
      <c r="K90" s="4" t="s">
        <v>34</v>
      </c>
      <c r="L90" s="4">
        <v>29</v>
      </c>
      <c r="M90" s="4" t="s">
        <v>35</v>
      </c>
      <c r="N90" s="4">
        <f t="shared" si="7"/>
        <v>2500</v>
      </c>
      <c r="O90" s="4" t="str">
        <f t="shared" si="5"/>
        <v>Less Income</v>
      </c>
      <c r="P90" s="4" t="str">
        <f t="shared" si="6"/>
        <v>No</v>
      </c>
    </row>
    <row r="91" spans="1:16" ht="14.25" customHeight="1" x14ac:dyDescent="0.35">
      <c r="A91" s="4">
        <v>25458</v>
      </c>
      <c r="B91" s="4" t="s">
        <v>28</v>
      </c>
      <c r="C91" s="4" t="s">
        <v>28</v>
      </c>
      <c r="D91" s="5">
        <v>20000</v>
      </c>
      <c r="E91" s="4">
        <v>1</v>
      </c>
      <c r="F91" s="4" t="s">
        <v>45</v>
      </c>
      <c r="G91" s="4" t="s">
        <v>43</v>
      </c>
      <c r="H91" s="4" t="s">
        <v>35</v>
      </c>
      <c r="I91" s="4">
        <v>1</v>
      </c>
      <c r="J91" s="4" t="s">
        <v>44</v>
      </c>
      <c r="K91" s="4" t="s">
        <v>34</v>
      </c>
      <c r="L91" s="4">
        <v>40</v>
      </c>
      <c r="M91" s="4" t="s">
        <v>32</v>
      </c>
      <c r="N91" s="4">
        <f t="shared" si="7"/>
        <v>1666.6666666666667</v>
      </c>
      <c r="O91" s="4" t="str">
        <f t="shared" si="5"/>
        <v>Less Income</v>
      </c>
      <c r="P91" s="4" t="str">
        <f t="shared" si="6"/>
        <v>No</v>
      </c>
    </row>
    <row r="92" spans="1:16" ht="14.25" customHeight="1" x14ac:dyDescent="0.35">
      <c r="A92" s="4">
        <v>26886</v>
      </c>
      <c r="B92" s="4" t="s">
        <v>40</v>
      </c>
      <c r="C92" s="4" t="s">
        <v>29</v>
      </c>
      <c r="D92" s="5">
        <v>30000</v>
      </c>
      <c r="E92" s="4">
        <v>0</v>
      </c>
      <c r="F92" s="4" t="s">
        <v>36</v>
      </c>
      <c r="G92" s="4" t="s">
        <v>37</v>
      </c>
      <c r="H92" s="4" t="s">
        <v>35</v>
      </c>
      <c r="I92" s="4">
        <v>1</v>
      </c>
      <c r="J92" s="4" t="s">
        <v>33</v>
      </c>
      <c r="K92" s="4" t="s">
        <v>34</v>
      </c>
      <c r="L92" s="4">
        <v>29</v>
      </c>
      <c r="M92" s="4" t="s">
        <v>32</v>
      </c>
      <c r="N92" s="4">
        <f t="shared" si="7"/>
        <v>2500</v>
      </c>
      <c r="O92" s="4" t="str">
        <f t="shared" si="5"/>
        <v>Less Income</v>
      </c>
      <c r="P92" s="4" t="str">
        <f t="shared" si="6"/>
        <v>No</v>
      </c>
    </row>
    <row r="93" spans="1:16" ht="14.25" customHeight="1" x14ac:dyDescent="0.35">
      <c r="A93" s="4">
        <v>28436</v>
      </c>
      <c r="B93" s="4" t="s">
        <v>40</v>
      </c>
      <c r="C93" s="4" t="s">
        <v>28</v>
      </c>
      <c r="D93" s="5">
        <v>30000</v>
      </c>
      <c r="E93" s="4">
        <v>0</v>
      </c>
      <c r="F93" s="4" t="s">
        <v>36</v>
      </c>
      <c r="G93" s="4" t="s">
        <v>37</v>
      </c>
      <c r="H93" s="4" t="s">
        <v>35</v>
      </c>
      <c r="I93" s="4">
        <v>1</v>
      </c>
      <c r="J93" s="4" t="s">
        <v>33</v>
      </c>
      <c r="K93" s="4" t="s">
        <v>34</v>
      </c>
      <c r="L93" s="4">
        <v>30</v>
      </c>
      <c r="M93" s="4" t="s">
        <v>32</v>
      </c>
      <c r="N93" s="4">
        <f t="shared" si="7"/>
        <v>2500</v>
      </c>
      <c r="O93" s="4" t="str">
        <f t="shared" si="5"/>
        <v>Less Income</v>
      </c>
      <c r="P93" s="4" t="str">
        <f t="shared" si="6"/>
        <v>No</v>
      </c>
    </row>
    <row r="94" spans="1:16" ht="14.25" customHeight="1" x14ac:dyDescent="0.35">
      <c r="A94" s="4">
        <v>19562</v>
      </c>
      <c r="B94" s="4" t="s">
        <v>40</v>
      </c>
      <c r="C94" s="4" t="s">
        <v>29</v>
      </c>
      <c r="D94" s="5">
        <v>60000</v>
      </c>
      <c r="E94" s="4">
        <v>2</v>
      </c>
      <c r="F94" s="4" t="s">
        <v>30</v>
      </c>
      <c r="G94" s="4" t="s">
        <v>38</v>
      </c>
      <c r="H94" s="4" t="s">
        <v>32</v>
      </c>
      <c r="I94" s="4">
        <v>1</v>
      </c>
      <c r="J94" s="4" t="s">
        <v>39</v>
      </c>
      <c r="K94" s="4" t="s">
        <v>42</v>
      </c>
      <c r="L94" s="4">
        <v>37</v>
      </c>
      <c r="M94" s="4" t="s">
        <v>32</v>
      </c>
      <c r="N94" s="4">
        <f t="shared" si="7"/>
        <v>5000</v>
      </c>
      <c r="O94" s="4" t="str">
        <f t="shared" si="5"/>
        <v>Less Income</v>
      </c>
      <c r="P94" s="4" t="str">
        <f t="shared" si="6"/>
        <v>No</v>
      </c>
    </row>
    <row r="95" spans="1:16" ht="14.25" customHeight="1" x14ac:dyDescent="0.35">
      <c r="A95" s="4">
        <v>15608</v>
      </c>
      <c r="B95" s="4" t="s">
        <v>40</v>
      </c>
      <c r="C95" s="4" t="s">
        <v>29</v>
      </c>
      <c r="D95" s="5">
        <v>30000</v>
      </c>
      <c r="E95" s="4">
        <v>0</v>
      </c>
      <c r="F95" s="4" t="s">
        <v>36</v>
      </c>
      <c r="G95" s="4" t="s">
        <v>37</v>
      </c>
      <c r="H95" s="4" t="s">
        <v>35</v>
      </c>
      <c r="I95" s="4">
        <v>1</v>
      </c>
      <c r="J95" s="4" t="s">
        <v>39</v>
      </c>
      <c r="K95" s="4" t="s">
        <v>34</v>
      </c>
      <c r="L95" s="4">
        <v>33</v>
      </c>
      <c r="M95" s="4" t="s">
        <v>35</v>
      </c>
      <c r="N95" s="4">
        <f t="shared" si="7"/>
        <v>2500</v>
      </c>
      <c r="O95" s="4" t="str">
        <f t="shared" si="5"/>
        <v>Less Income</v>
      </c>
      <c r="P95" s="4" t="str">
        <f t="shared" si="6"/>
        <v>No</v>
      </c>
    </row>
    <row r="96" spans="1:16" ht="14.25" customHeight="1" x14ac:dyDescent="0.35">
      <c r="A96" s="4">
        <v>16487</v>
      </c>
      <c r="B96" s="4" t="s">
        <v>40</v>
      </c>
      <c r="C96" s="4" t="s">
        <v>29</v>
      </c>
      <c r="D96" s="5">
        <v>30000</v>
      </c>
      <c r="E96" s="4">
        <v>3</v>
      </c>
      <c r="F96" s="4" t="s">
        <v>45</v>
      </c>
      <c r="G96" s="4" t="s">
        <v>31</v>
      </c>
      <c r="H96" s="4" t="s">
        <v>32</v>
      </c>
      <c r="I96" s="4">
        <v>2</v>
      </c>
      <c r="J96" s="4" t="s">
        <v>41</v>
      </c>
      <c r="K96" s="4" t="s">
        <v>42</v>
      </c>
      <c r="L96" s="4">
        <v>55</v>
      </c>
      <c r="M96" s="4" t="s">
        <v>35</v>
      </c>
      <c r="N96" s="4">
        <f t="shared" si="7"/>
        <v>2500</v>
      </c>
      <c r="O96" s="4" t="str">
        <f t="shared" si="5"/>
        <v>Less Income</v>
      </c>
      <c r="P96" s="4" t="str">
        <f t="shared" si="6"/>
        <v>No</v>
      </c>
    </row>
    <row r="97" spans="1:16" ht="14.25" customHeight="1" x14ac:dyDescent="0.35">
      <c r="A97" s="4">
        <v>17197</v>
      </c>
      <c r="B97" s="4" t="s">
        <v>40</v>
      </c>
      <c r="C97" s="4" t="s">
        <v>29</v>
      </c>
      <c r="D97" s="5">
        <v>90000</v>
      </c>
      <c r="E97" s="4">
        <v>5</v>
      </c>
      <c r="F97" s="4" t="s">
        <v>36</v>
      </c>
      <c r="G97" s="4" t="s">
        <v>38</v>
      </c>
      <c r="H97" s="4" t="s">
        <v>32</v>
      </c>
      <c r="I97" s="4">
        <v>2</v>
      </c>
      <c r="J97" s="4" t="s">
        <v>48</v>
      </c>
      <c r="K97" s="4" t="s">
        <v>34</v>
      </c>
      <c r="L97" s="4">
        <v>62</v>
      </c>
      <c r="M97" s="4" t="s">
        <v>35</v>
      </c>
      <c r="N97" s="4">
        <f t="shared" si="7"/>
        <v>7500</v>
      </c>
      <c r="O97" s="4" t="str">
        <f t="shared" si="5"/>
        <v>High Income</v>
      </c>
      <c r="P97" s="4" t="str">
        <f t="shared" si="6"/>
        <v>No</v>
      </c>
    </row>
    <row r="98" spans="1:16" ht="14.25" customHeight="1" x14ac:dyDescent="0.35">
      <c r="A98" s="4">
        <v>12507</v>
      </c>
      <c r="B98" s="4" t="s">
        <v>28</v>
      </c>
      <c r="C98" s="4" t="s">
        <v>28</v>
      </c>
      <c r="D98" s="5">
        <v>30000</v>
      </c>
      <c r="E98" s="4">
        <v>1</v>
      </c>
      <c r="F98" s="4" t="s">
        <v>36</v>
      </c>
      <c r="G98" s="4" t="s">
        <v>37</v>
      </c>
      <c r="H98" s="4" t="s">
        <v>32</v>
      </c>
      <c r="I98" s="4">
        <v>1</v>
      </c>
      <c r="J98" s="4" t="s">
        <v>33</v>
      </c>
      <c r="K98" s="4" t="s">
        <v>34</v>
      </c>
      <c r="L98" s="4">
        <v>43</v>
      </c>
      <c r="M98" s="4" t="s">
        <v>35</v>
      </c>
      <c r="N98" s="4">
        <f t="shared" si="7"/>
        <v>2500</v>
      </c>
      <c r="O98" s="4" t="str">
        <f t="shared" ref="O98:O129" si="8">IF(D98&gt;70000, "High Income", "Less Income")</f>
        <v>Less Income</v>
      </c>
      <c r="P98" s="4" t="str">
        <f t="shared" ref="P98:P129" si="9">IF(AND(D98&gt;70000,L98&lt;40), "Yes", "No")</f>
        <v>No</v>
      </c>
    </row>
    <row r="99" spans="1:16" ht="14.25" customHeight="1" x14ac:dyDescent="0.35">
      <c r="A99" s="4">
        <v>23940</v>
      </c>
      <c r="B99" s="4" t="s">
        <v>28</v>
      </c>
      <c r="C99" s="4" t="s">
        <v>28</v>
      </c>
      <c r="D99" s="5">
        <v>40000</v>
      </c>
      <c r="E99" s="4">
        <v>1</v>
      </c>
      <c r="F99" s="4" t="s">
        <v>30</v>
      </c>
      <c r="G99" s="4" t="s">
        <v>31</v>
      </c>
      <c r="H99" s="4" t="s">
        <v>32</v>
      </c>
      <c r="I99" s="4">
        <v>1</v>
      </c>
      <c r="J99" s="4" t="s">
        <v>33</v>
      </c>
      <c r="K99" s="4" t="s">
        <v>34</v>
      </c>
      <c r="L99" s="4">
        <v>44</v>
      </c>
      <c r="M99" s="4" t="s">
        <v>32</v>
      </c>
      <c r="N99" s="4">
        <f t="shared" si="7"/>
        <v>3333.3333333333335</v>
      </c>
      <c r="O99" s="4" t="str">
        <f t="shared" si="8"/>
        <v>Less Income</v>
      </c>
      <c r="P99" s="4" t="str">
        <f t="shared" si="9"/>
        <v>No</v>
      </c>
    </row>
    <row r="100" spans="1:16" ht="14.25" customHeight="1" x14ac:dyDescent="0.35">
      <c r="A100" s="4">
        <v>19441</v>
      </c>
      <c r="B100" s="4" t="s">
        <v>28</v>
      </c>
      <c r="C100" s="4" t="s">
        <v>28</v>
      </c>
      <c r="D100" s="5">
        <v>40000</v>
      </c>
      <c r="E100" s="4">
        <v>0</v>
      </c>
      <c r="F100" s="4" t="s">
        <v>49</v>
      </c>
      <c r="G100" s="4" t="s">
        <v>37</v>
      </c>
      <c r="H100" s="4" t="s">
        <v>32</v>
      </c>
      <c r="I100" s="4">
        <v>0</v>
      </c>
      <c r="J100" s="4" t="s">
        <v>33</v>
      </c>
      <c r="K100" s="4" t="s">
        <v>34</v>
      </c>
      <c r="L100" s="4">
        <v>25</v>
      </c>
      <c r="M100" s="4" t="s">
        <v>32</v>
      </c>
      <c r="N100" s="4">
        <f t="shared" si="7"/>
        <v>3333.3333333333335</v>
      </c>
      <c r="O100" s="4" t="str">
        <f t="shared" si="8"/>
        <v>Less Income</v>
      </c>
      <c r="P100" s="4" t="str">
        <f t="shared" si="9"/>
        <v>No</v>
      </c>
    </row>
    <row r="101" spans="1:16" ht="14.25" customHeight="1" x14ac:dyDescent="0.35">
      <c r="A101" s="4">
        <v>26852</v>
      </c>
      <c r="B101" s="4" t="s">
        <v>28</v>
      </c>
      <c r="C101" s="4" t="s">
        <v>29</v>
      </c>
      <c r="D101" s="5">
        <v>20000</v>
      </c>
      <c r="E101" s="4">
        <v>3</v>
      </c>
      <c r="F101" s="4" t="s">
        <v>45</v>
      </c>
      <c r="G101" s="4" t="s">
        <v>43</v>
      </c>
      <c r="H101" s="4" t="s">
        <v>32</v>
      </c>
      <c r="I101" s="4">
        <v>2</v>
      </c>
      <c r="J101" s="4" t="s">
        <v>33</v>
      </c>
      <c r="K101" s="4" t="s">
        <v>34</v>
      </c>
      <c r="L101" s="4">
        <v>43</v>
      </c>
      <c r="M101" s="4" t="s">
        <v>35</v>
      </c>
      <c r="N101" s="4">
        <f t="shared" si="7"/>
        <v>1666.6666666666667</v>
      </c>
      <c r="O101" s="4" t="str">
        <f t="shared" si="8"/>
        <v>Less Income</v>
      </c>
      <c r="P101" s="4" t="str">
        <f t="shared" si="9"/>
        <v>No</v>
      </c>
    </row>
    <row r="102" spans="1:16" ht="14.25" customHeight="1" x14ac:dyDescent="0.35">
      <c r="A102" s="4">
        <v>12274</v>
      </c>
      <c r="B102" s="4" t="s">
        <v>40</v>
      </c>
      <c r="C102" s="4" t="s">
        <v>28</v>
      </c>
      <c r="D102" s="5">
        <v>10000</v>
      </c>
      <c r="E102" s="4">
        <v>2</v>
      </c>
      <c r="F102" s="4" t="s">
        <v>45</v>
      </c>
      <c r="G102" s="4" t="s">
        <v>43</v>
      </c>
      <c r="H102" s="4" t="s">
        <v>32</v>
      </c>
      <c r="I102" s="4">
        <v>0</v>
      </c>
      <c r="J102" s="4" t="s">
        <v>33</v>
      </c>
      <c r="K102" s="4" t="s">
        <v>34</v>
      </c>
      <c r="L102" s="4">
        <v>35</v>
      </c>
      <c r="M102" s="4" t="s">
        <v>35</v>
      </c>
      <c r="N102" s="4">
        <f t="shared" si="7"/>
        <v>833.33333333333337</v>
      </c>
      <c r="O102" s="4" t="str">
        <f t="shared" si="8"/>
        <v>Less Income</v>
      </c>
      <c r="P102" s="4" t="str">
        <f t="shared" si="9"/>
        <v>No</v>
      </c>
    </row>
    <row r="103" spans="1:16" ht="14.25" customHeight="1" x14ac:dyDescent="0.35">
      <c r="A103" s="4">
        <v>20236</v>
      </c>
      <c r="B103" s="4" t="s">
        <v>40</v>
      </c>
      <c r="C103" s="4" t="s">
        <v>28</v>
      </c>
      <c r="D103" s="5">
        <v>60000</v>
      </c>
      <c r="E103" s="4">
        <v>3</v>
      </c>
      <c r="F103" s="4" t="s">
        <v>30</v>
      </c>
      <c r="G103" s="4" t="s">
        <v>38</v>
      </c>
      <c r="H103" s="4" t="s">
        <v>35</v>
      </c>
      <c r="I103" s="4">
        <v>2</v>
      </c>
      <c r="J103" s="4" t="s">
        <v>33</v>
      </c>
      <c r="K103" s="4" t="s">
        <v>42</v>
      </c>
      <c r="L103" s="4">
        <v>43</v>
      </c>
      <c r="M103" s="4" t="s">
        <v>32</v>
      </c>
      <c r="N103" s="4">
        <f t="shared" si="7"/>
        <v>5000</v>
      </c>
      <c r="O103" s="4" t="str">
        <f t="shared" si="8"/>
        <v>Less Income</v>
      </c>
      <c r="P103" s="4" t="str">
        <f t="shared" si="9"/>
        <v>No</v>
      </c>
    </row>
    <row r="104" spans="1:16" ht="14.25" customHeight="1" x14ac:dyDescent="0.35">
      <c r="A104" s="4">
        <v>24149</v>
      </c>
      <c r="B104" s="4" t="s">
        <v>28</v>
      </c>
      <c r="C104" s="4" t="s">
        <v>28</v>
      </c>
      <c r="D104" s="5">
        <v>10000</v>
      </c>
      <c r="E104" s="4">
        <v>2</v>
      </c>
      <c r="F104" s="4" t="s">
        <v>36</v>
      </c>
      <c r="G104" s="4" t="s">
        <v>43</v>
      </c>
      <c r="H104" s="4" t="s">
        <v>32</v>
      </c>
      <c r="I104" s="4">
        <v>0</v>
      </c>
      <c r="J104" s="4" t="s">
        <v>44</v>
      </c>
      <c r="K104" s="4" t="s">
        <v>34</v>
      </c>
      <c r="L104" s="4">
        <v>49</v>
      </c>
      <c r="M104" s="4" t="s">
        <v>35</v>
      </c>
      <c r="N104" s="4">
        <f t="shared" si="7"/>
        <v>833.33333333333337</v>
      </c>
      <c r="O104" s="4" t="str">
        <f t="shared" si="8"/>
        <v>Less Income</v>
      </c>
      <c r="P104" s="4" t="str">
        <f t="shared" si="9"/>
        <v>No</v>
      </c>
    </row>
    <row r="105" spans="1:16" ht="14.25" customHeight="1" x14ac:dyDescent="0.35">
      <c r="A105" s="4">
        <v>26139</v>
      </c>
      <c r="B105" s="4" t="s">
        <v>40</v>
      </c>
      <c r="C105" s="4" t="s">
        <v>28</v>
      </c>
      <c r="D105" s="5">
        <v>60000</v>
      </c>
      <c r="E105" s="4">
        <v>1</v>
      </c>
      <c r="F105" s="4" t="s">
        <v>36</v>
      </c>
      <c r="G105" s="4" t="s">
        <v>31</v>
      </c>
      <c r="H105" s="4" t="s">
        <v>32</v>
      </c>
      <c r="I105" s="4">
        <v>1</v>
      </c>
      <c r="J105" s="4" t="s">
        <v>41</v>
      </c>
      <c r="K105" s="4" t="s">
        <v>42</v>
      </c>
      <c r="L105" s="4">
        <v>45</v>
      </c>
      <c r="M105" s="4" t="s">
        <v>35</v>
      </c>
      <c r="N105" s="4">
        <f t="shared" si="7"/>
        <v>5000</v>
      </c>
      <c r="O105" s="4" t="str">
        <f t="shared" si="8"/>
        <v>Less Income</v>
      </c>
      <c r="P105" s="4" t="str">
        <f t="shared" si="9"/>
        <v>No</v>
      </c>
    </row>
    <row r="106" spans="1:16" ht="14.25" customHeight="1" x14ac:dyDescent="0.35">
      <c r="A106" s="4">
        <v>18491</v>
      </c>
      <c r="B106" s="4" t="s">
        <v>40</v>
      </c>
      <c r="C106" s="4" t="s">
        <v>29</v>
      </c>
      <c r="D106" s="5">
        <v>70000</v>
      </c>
      <c r="E106" s="4">
        <v>2</v>
      </c>
      <c r="F106" s="4" t="s">
        <v>45</v>
      </c>
      <c r="G106" s="4" t="s">
        <v>38</v>
      </c>
      <c r="H106" s="4" t="s">
        <v>32</v>
      </c>
      <c r="I106" s="4">
        <v>2</v>
      </c>
      <c r="J106" s="4" t="s">
        <v>41</v>
      </c>
      <c r="K106" s="4" t="s">
        <v>42</v>
      </c>
      <c r="L106" s="4">
        <v>49</v>
      </c>
      <c r="M106" s="4" t="s">
        <v>32</v>
      </c>
      <c r="N106" s="4">
        <f t="shared" si="7"/>
        <v>5833.333333333333</v>
      </c>
      <c r="O106" s="4" t="str">
        <f t="shared" si="8"/>
        <v>Less Income</v>
      </c>
      <c r="P106" s="4" t="str">
        <f t="shared" si="9"/>
        <v>No</v>
      </c>
    </row>
    <row r="107" spans="1:16" ht="14.25" customHeight="1" x14ac:dyDescent="0.35">
      <c r="A107" s="4">
        <v>22707</v>
      </c>
      <c r="B107" s="4" t="s">
        <v>40</v>
      </c>
      <c r="C107" s="4" t="s">
        <v>29</v>
      </c>
      <c r="D107" s="5">
        <v>30000</v>
      </c>
      <c r="E107" s="4">
        <v>0</v>
      </c>
      <c r="F107" s="4" t="s">
        <v>36</v>
      </c>
      <c r="G107" s="4" t="s">
        <v>37</v>
      </c>
      <c r="H107" s="4" t="s">
        <v>35</v>
      </c>
      <c r="I107" s="4">
        <v>1</v>
      </c>
      <c r="J107" s="4" t="s">
        <v>39</v>
      </c>
      <c r="K107" s="4" t="s">
        <v>34</v>
      </c>
      <c r="L107" s="4">
        <v>30</v>
      </c>
      <c r="M107" s="4" t="s">
        <v>35</v>
      </c>
      <c r="N107" s="4">
        <f t="shared" si="7"/>
        <v>2500</v>
      </c>
      <c r="O107" s="4" t="str">
        <f t="shared" si="8"/>
        <v>Less Income</v>
      </c>
      <c r="P107" s="4" t="str">
        <f t="shared" si="9"/>
        <v>No</v>
      </c>
    </row>
    <row r="108" spans="1:16" ht="14.25" customHeight="1" x14ac:dyDescent="0.35">
      <c r="A108" s="4">
        <v>20430</v>
      </c>
      <c r="B108" s="4" t="s">
        <v>28</v>
      </c>
      <c r="C108" s="4" t="s">
        <v>28</v>
      </c>
      <c r="D108" s="5">
        <v>70000</v>
      </c>
      <c r="E108" s="4">
        <v>2</v>
      </c>
      <c r="F108" s="4" t="s">
        <v>36</v>
      </c>
      <c r="G108" s="4" t="s">
        <v>31</v>
      </c>
      <c r="H108" s="4" t="s">
        <v>32</v>
      </c>
      <c r="I108" s="4">
        <v>2</v>
      </c>
      <c r="J108" s="4" t="s">
        <v>41</v>
      </c>
      <c r="K108" s="4" t="s">
        <v>42</v>
      </c>
      <c r="L108" s="4">
        <v>52</v>
      </c>
      <c r="M108" s="4" t="s">
        <v>32</v>
      </c>
      <c r="N108" s="4">
        <f t="shared" si="7"/>
        <v>5833.333333333333</v>
      </c>
      <c r="O108" s="4" t="str">
        <f t="shared" si="8"/>
        <v>Less Income</v>
      </c>
      <c r="P108" s="4" t="str">
        <f t="shared" si="9"/>
        <v>No</v>
      </c>
    </row>
    <row r="109" spans="1:16" ht="14.25" customHeight="1" x14ac:dyDescent="0.35">
      <c r="A109" s="4">
        <v>27494</v>
      </c>
      <c r="B109" s="4" t="s">
        <v>40</v>
      </c>
      <c r="C109" s="4" t="s">
        <v>29</v>
      </c>
      <c r="D109" s="5">
        <v>40000</v>
      </c>
      <c r="E109" s="4">
        <v>2</v>
      </c>
      <c r="F109" s="4" t="s">
        <v>36</v>
      </c>
      <c r="G109" s="4" t="s">
        <v>31</v>
      </c>
      <c r="H109" s="4" t="s">
        <v>35</v>
      </c>
      <c r="I109" s="4">
        <v>2</v>
      </c>
      <c r="J109" s="4" t="s">
        <v>44</v>
      </c>
      <c r="K109" s="4" t="s">
        <v>42</v>
      </c>
      <c r="L109" s="4">
        <v>53</v>
      </c>
      <c r="M109" s="4" t="s">
        <v>32</v>
      </c>
      <c r="N109" s="4">
        <f t="shared" si="7"/>
        <v>3333.3333333333335</v>
      </c>
      <c r="O109" s="4" t="str">
        <f t="shared" si="8"/>
        <v>Less Income</v>
      </c>
      <c r="P109" s="4" t="str">
        <f t="shared" si="9"/>
        <v>No</v>
      </c>
    </row>
    <row r="110" spans="1:16" ht="14.25" customHeight="1" x14ac:dyDescent="0.35">
      <c r="A110" s="4">
        <v>26829</v>
      </c>
      <c r="B110" s="4" t="s">
        <v>28</v>
      </c>
      <c r="C110" s="4" t="s">
        <v>29</v>
      </c>
      <c r="D110" s="5">
        <v>40000</v>
      </c>
      <c r="E110" s="4">
        <v>0</v>
      </c>
      <c r="F110" s="4" t="s">
        <v>30</v>
      </c>
      <c r="G110" s="4" t="s">
        <v>37</v>
      </c>
      <c r="H110" s="4" t="s">
        <v>32</v>
      </c>
      <c r="I110" s="4">
        <v>0</v>
      </c>
      <c r="J110" s="4" t="s">
        <v>33</v>
      </c>
      <c r="K110" s="4" t="s">
        <v>34</v>
      </c>
      <c r="L110" s="4">
        <v>38</v>
      </c>
      <c r="M110" s="4" t="s">
        <v>32</v>
      </c>
      <c r="N110" s="4">
        <f t="shared" si="7"/>
        <v>3333.3333333333335</v>
      </c>
      <c r="O110" s="4" t="str">
        <f t="shared" si="8"/>
        <v>Less Income</v>
      </c>
      <c r="P110" s="4" t="str">
        <f t="shared" si="9"/>
        <v>No</v>
      </c>
    </row>
    <row r="111" spans="1:16" ht="14.25" customHeight="1" x14ac:dyDescent="0.35">
      <c r="A111" s="4">
        <v>28395</v>
      </c>
      <c r="B111" s="4" t="s">
        <v>40</v>
      </c>
      <c r="C111" s="4" t="s">
        <v>28</v>
      </c>
      <c r="D111" s="5">
        <v>40000</v>
      </c>
      <c r="E111" s="4">
        <v>0</v>
      </c>
      <c r="F111" s="4" t="s">
        <v>30</v>
      </c>
      <c r="G111" s="4" t="s">
        <v>38</v>
      </c>
      <c r="H111" s="4" t="s">
        <v>35</v>
      </c>
      <c r="I111" s="4">
        <v>0</v>
      </c>
      <c r="J111" s="4" t="s">
        <v>33</v>
      </c>
      <c r="K111" s="4" t="s">
        <v>34</v>
      </c>
      <c r="L111" s="4">
        <v>39</v>
      </c>
      <c r="M111" s="4" t="s">
        <v>32</v>
      </c>
      <c r="N111" s="4">
        <f t="shared" si="7"/>
        <v>3333.3333333333335</v>
      </c>
      <c r="O111" s="4" t="str">
        <f t="shared" si="8"/>
        <v>Less Income</v>
      </c>
      <c r="P111" s="4" t="str">
        <f t="shared" si="9"/>
        <v>No</v>
      </c>
    </row>
    <row r="112" spans="1:16" ht="14.25" customHeight="1" x14ac:dyDescent="0.35">
      <c r="A112" s="4">
        <v>21006</v>
      </c>
      <c r="B112" s="4" t="s">
        <v>40</v>
      </c>
      <c r="C112" s="4" t="s">
        <v>29</v>
      </c>
      <c r="D112" s="5">
        <v>30000</v>
      </c>
      <c r="E112" s="4">
        <v>1</v>
      </c>
      <c r="F112" s="4" t="s">
        <v>36</v>
      </c>
      <c r="G112" s="4" t="s">
        <v>43</v>
      </c>
      <c r="H112" s="4" t="s">
        <v>35</v>
      </c>
      <c r="I112" s="4">
        <v>0</v>
      </c>
      <c r="J112" s="4" t="s">
        <v>33</v>
      </c>
      <c r="K112" s="4" t="s">
        <v>34</v>
      </c>
      <c r="L112" s="4">
        <v>46</v>
      </c>
      <c r="M112" s="4" t="s">
        <v>32</v>
      </c>
      <c r="N112" s="4">
        <f t="shared" si="7"/>
        <v>2500</v>
      </c>
      <c r="O112" s="4" t="str">
        <f t="shared" si="8"/>
        <v>Less Income</v>
      </c>
      <c r="P112" s="4" t="str">
        <f t="shared" si="9"/>
        <v>No</v>
      </c>
    </row>
    <row r="113" spans="1:16" ht="14.25" customHeight="1" x14ac:dyDescent="0.35">
      <c r="A113" s="4">
        <v>14682</v>
      </c>
      <c r="B113" s="4" t="s">
        <v>40</v>
      </c>
      <c r="C113" s="4" t="s">
        <v>29</v>
      </c>
      <c r="D113" s="5">
        <v>70000</v>
      </c>
      <c r="E113" s="4">
        <v>0</v>
      </c>
      <c r="F113" s="4" t="s">
        <v>30</v>
      </c>
      <c r="G113" s="4" t="s">
        <v>38</v>
      </c>
      <c r="H113" s="4" t="s">
        <v>35</v>
      </c>
      <c r="I113" s="4">
        <v>1</v>
      </c>
      <c r="J113" s="4" t="s">
        <v>41</v>
      </c>
      <c r="K113" s="4" t="s">
        <v>42</v>
      </c>
      <c r="L113" s="4">
        <v>38</v>
      </c>
      <c r="M113" s="4" t="s">
        <v>35</v>
      </c>
      <c r="N113" s="4">
        <f t="shared" si="7"/>
        <v>5833.333333333333</v>
      </c>
      <c r="O113" s="4" t="str">
        <f t="shared" si="8"/>
        <v>Less Income</v>
      </c>
      <c r="P113" s="4" t="str">
        <f t="shared" si="9"/>
        <v>No</v>
      </c>
    </row>
    <row r="114" spans="1:16" ht="14.25" customHeight="1" x14ac:dyDescent="0.35">
      <c r="A114" s="4">
        <v>17650</v>
      </c>
      <c r="B114" s="4" t="s">
        <v>40</v>
      </c>
      <c r="C114" s="4" t="s">
        <v>29</v>
      </c>
      <c r="D114" s="5">
        <v>40000</v>
      </c>
      <c r="E114" s="4">
        <v>2</v>
      </c>
      <c r="F114" s="4" t="s">
        <v>36</v>
      </c>
      <c r="G114" s="4" t="s">
        <v>37</v>
      </c>
      <c r="H114" s="4" t="s">
        <v>32</v>
      </c>
      <c r="I114" s="4">
        <v>2</v>
      </c>
      <c r="J114" s="4" t="s">
        <v>44</v>
      </c>
      <c r="K114" s="4" t="s">
        <v>34</v>
      </c>
      <c r="L114" s="4">
        <v>35</v>
      </c>
      <c r="M114" s="4" t="s">
        <v>35</v>
      </c>
      <c r="N114" s="4">
        <f t="shared" si="7"/>
        <v>3333.3333333333335</v>
      </c>
      <c r="O114" s="4" t="str">
        <f t="shared" si="8"/>
        <v>Less Income</v>
      </c>
      <c r="P114" s="4" t="str">
        <f t="shared" si="9"/>
        <v>No</v>
      </c>
    </row>
    <row r="115" spans="1:16" ht="14.25" customHeight="1" x14ac:dyDescent="0.35">
      <c r="A115" s="4">
        <v>29191</v>
      </c>
      <c r="B115" s="4" t="s">
        <v>40</v>
      </c>
      <c r="C115" s="4" t="s">
        <v>29</v>
      </c>
      <c r="D115" s="5">
        <v>130000</v>
      </c>
      <c r="E115" s="4">
        <v>1</v>
      </c>
      <c r="F115" s="4" t="s">
        <v>49</v>
      </c>
      <c r="G115" s="4" t="s">
        <v>46</v>
      </c>
      <c r="H115" s="4" t="s">
        <v>35</v>
      </c>
      <c r="I115" s="4">
        <v>1</v>
      </c>
      <c r="J115" s="4" t="s">
        <v>33</v>
      </c>
      <c r="K115" s="4" t="s">
        <v>42</v>
      </c>
      <c r="L115" s="4">
        <v>36</v>
      </c>
      <c r="M115" s="4" t="s">
        <v>32</v>
      </c>
      <c r="N115" s="4">
        <f t="shared" si="7"/>
        <v>10833.333333333334</v>
      </c>
      <c r="O115" s="4" t="str">
        <f t="shared" si="8"/>
        <v>High Income</v>
      </c>
      <c r="P115" s="4" t="str">
        <f t="shared" si="9"/>
        <v>Yes</v>
      </c>
    </row>
    <row r="116" spans="1:16" ht="14.25" customHeight="1" x14ac:dyDescent="0.35">
      <c r="A116" s="4">
        <v>15030</v>
      </c>
      <c r="B116" s="4" t="s">
        <v>28</v>
      </c>
      <c r="C116" s="4" t="s">
        <v>28</v>
      </c>
      <c r="D116" s="5">
        <v>20000</v>
      </c>
      <c r="E116" s="4">
        <v>0</v>
      </c>
      <c r="F116" s="4" t="s">
        <v>30</v>
      </c>
      <c r="G116" s="4" t="s">
        <v>37</v>
      </c>
      <c r="H116" s="4" t="s">
        <v>32</v>
      </c>
      <c r="I116" s="4">
        <v>0</v>
      </c>
      <c r="J116" s="4" t="s">
        <v>33</v>
      </c>
      <c r="K116" s="4" t="s">
        <v>42</v>
      </c>
      <c r="L116" s="4">
        <v>26</v>
      </c>
      <c r="M116" s="4" t="s">
        <v>32</v>
      </c>
      <c r="N116" s="4">
        <f t="shared" si="7"/>
        <v>1666.6666666666667</v>
      </c>
      <c r="O116" s="4" t="str">
        <f t="shared" si="8"/>
        <v>Less Income</v>
      </c>
      <c r="P116" s="4" t="str">
        <f t="shared" si="9"/>
        <v>No</v>
      </c>
    </row>
    <row r="117" spans="1:16" ht="14.25" customHeight="1" x14ac:dyDescent="0.35">
      <c r="A117" s="4">
        <v>24140</v>
      </c>
      <c r="B117" s="4" t="s">
        <v>40</v>
      </c>
      <c r="C117" s="4" t="s">
        <v>28</v>
      </c>
      <c r="D117" s="5">
        <v>10000</v>
      </c>
      <c r="E117" s="4">
        <v>0</v>
      </c>
      <c r="F117" s="4" t="s">
        <v>49</v>
      </c>
      <c r="G117" s="4" t="s">
        <v>43</v>
      </c>
      <c r="H117" s="4" t="s">
        <v>35</v>
      </c>
      <c r="I117" s="4">
        <v>0</v>
      </c>
      <c r="J117" s="4" t="s">
        <v>33</v>
      </c>
      <c r="K117" s="4" t="s">
        <v>34</v>
      </c>
      <c r="L117" s="4">
        <v>30</v>
      </c>
      <c r="M117" s="4" t="s">
        <v>32</v>
      </c>
      <c r="N117" s="4">
        <f t="shared" si="7"/>
        <v>833.33333333333337</v>
      </c>
      <c r="O117" s="4" t="str">
        <f t="shared" si="8"/>
        <v>Less Income</v>
      </c>
      <c r="P117" s="4" t="str">
        <f t="shared" si="9"/>
        <v>No</v>
      </c>
    </row>
    <row r="118" spans="1:16" ht="14.25" customHeight="1" x14ac:dyDescent="0.35">
      <c r="A118" s="4">
        <v>22496</v>
      </c>
      <c r="B118" s="4" t="s">
        <v>28</v>
      </c>
      <c r="C118" s="4" t="s">
        <v>29</v>
      </c>
      <c r="D118" s="5">
        <v>30000</v>
      </c>
      <c r="E118" s="4">
        <v>1</v>
      </c>
      <c r="F118" s="4" t="s">
        <v>30</v>
      </c>
      <c r="G118" s="4" t="s">
        <v>31</v>
      </c>
      <c r="H118" s="4" t="s">
        <v>32</v>
      </c>
      <c r="I118" s="4">
        <v>2</v>
      </c>
      <c r="J118" s="4" t="s">
        <v>33</v>
      </c>
      <c r="K118" s="4" t="s">
        <v>34</v>
      </c>
      <c r="L118" s="4">
        <v>42</v>
      </c>
      <c r="M118" s="4" t="s">
        <v>35</v>
      </c>
      <c r="N118" s="4">
        <f t="shared" si="7"/>
        <v>2500</v>
      </c>
      <c r="O118" s="4" t="str">
        <f t="shared" si="8"/>
        <v>Less Income</v>
      </c>
      <c r="P118" s="4" t="str">
        <f t="shared" si="9"/>
        <v>No</v>
      </c>
    </row>
    <row r="119" spans="1:16" ht="14.25" customHeight="1" x14ac:dyDescent="0.35">
      <c r="A119" s="4">
        <v>24065</v>
      </c>
      <c r="B119" s="4" t="s">
        <v>40</v>
      </c>
      <c r="C119" s="4" t="s">
        <v>29</v>
      </c>
      <c r="D119" s="5">
        <v>20000</v>
      </c>
      <c r="E119" s="4">
        <v>0</v>
      </c>
      <c r="F119" s="4" t="s">
        <v>45</v>
      </c>
      <c r="G119" s="4" t="s">
        <v>43</v>
      </c>
      <c r="H119" s="4" t="s">
        <v>32</v>
      </c>
      <c r="I119" s="4">
        <v>0</v>
      </c>
      <c r="J119" s="4" t="s">
        <v>33</v>
      </c>
      <c r="K119" s="4" t="s">
        <v>34</v>
      </c>
      <c r="L119" s="4">
        <v>40</v>
      </c>
      <c r="M119" s="4" t="s">
        <v>32</v>
      </c>
      <c r="N119" s="4">
        <f t="shared" si="7"/>
        <v>1666.6666666666667</v>
      </c>
      <c r="O119" s="4" t="str">
        <f t="shared" si="8"/>
        <v>Less Income</v>
      </c>
      <c r="P119" s="4" t="str">
        <f t="shared" si="9"/>
        <v>No</v>
      </c>
    </row>
    <row r="120" spans="1:16" ht="14.25" customHeight="1" x14ac:dyDescent="0.35">
      <c r="A120" s="4">
        <v>19914</v>
      </c>
      <c r="B120" s="4" t="s">
        <v>28</v>
      </c>
      <c r="C120" s="4" t="s">
        <v>28</v>
      </c>
      <c r="D120" s="5">
        <v>80000</v>
      </c>
      <c r="E120" s="4">
        <v>5</v>
      </c>
      <c r="F120" s="4" t="s">
        <v>30</v>
      </c>
      <c r="G120" s="4" t="s">
        <v>46</v>
      </c>
      <c r="H120" s="4" t="s">
        <v>32</v>
      </c>
      <c r="I120" s="4">
        <v>2</v>
      </c>
      <c r="J120" s="4" t="s">
        <v>39</v>
      </c>
      <c r="K120" s="4" t="s">
        <v>34</v>
      </c>
      <c r="L120" s="4">
        <v>62</v>
      </c>
      <c r="M120" s="4" t="s">
        <v>35</v>
      </c>
      <c r="N120" s="4">
        <f t="shared" si="7"/>
        <v>6666.666666666667</v>
      </c>
      <c r="O120" s="4" t="str">
        <f t="shared" si="8"/>
        <v>High Income</v>
      </c>
      <c r="P120" s="4" t="str">
        <f t="shared" si="9"/>
        <v>No</v>
      </c>
    </row>
    <row r="121" spans="1:16" ht="14.25" customHeight="1" x14ac:dyDescent="0.35">
      <c r="A121" s="4">
        <v>12871</v>
      </c>
      <c r="B121" s="4" t="s">
        <v>40</v>
      </c>
      <c r="C121" s="4" t="s">
        <v>29</v>
      </c>
      <c r="D121" s="5">
        <v>30000</v>
      </c>
      <c r="E121" s="4">
        <v>0</v>
      </c>
      <c r="F121" s="4" t="s">
        <v>36</v>
      </c>
      <c r="G121" s="4" t="s">
        <v>37</v>
      </c>
      <c r="H121" s="4" t="s">
        <v>35</v>
      </c>
      <c r="I121" s="4">
        <v>1</v>
      </c>
      <c r="J121" s="4" t="s">
        <v>39</v>
      </c>
      <c r="K121" s="4" t="s">
        <v>34</v>
      </c>
      <c r="L121" s="4">
        <v>29</v>
      </c>
      <c r="M121" s="4" t="s">
        <v>35</v>
      </c>
      <c r="N121" s="4">
        <f t="shared" si="7"/>
        <v>2500</v>
      </c>
      <c r="O121" s="4" t="str">
        <f t="shared" si="8"/>
        <v>Less Income</v>
      </c>
      <c r="P121" s="4" t="str">
        <f t="shared" si="9"/>
        <v>No</v>
      </c>
    </row>
    <row r="122" spans="1:16" ht="14.25" customHeight="1" x14ac:dyDescent="0.35">
      <c r="A122" s="4">
        <v>22988</v>
      </c>
      <c r="B122" s="4" t="s">
        <v>28</v>
      </c>
      <c r="C122" s="4" t="s">
        <v>29</v>
      </c>
      <c r="D122" s="5">
        <v>40000</v>
      </c>
      <c r="E122" s="4">
        <v>2</v>
      </c>
      <c r="F122" s="4" t="s">
        <v>30</v>
      </c>
      <c r="G122" s="4" t="s">
        <v>46</v>
      </c>
      <c r="H122" s="4" t="s">
        <v>32</v>
      </c>
      <c r="I122" s="4">
        <v>2</v>
      </c>
      <c r="J122" s="4" t="s">
        <v>41</v>
      </c>
      <c r="K122" s="4" t="s">
        <v>42</v>
      </c>
      <c r="L122" s="4">
        <v>66</v>
      </c>
      <c r="M122" s="4" t="s">
        <v>32</v>
      </c>
      <c r="N122" s="4">
        <f t="shared" si="7"/>
        <v>3333.3333333333335</v>
      </c>
      <c r="O122" s="4" t="str">
        <f t="shared" si="8"/>
        <v>Less Income</v>
      </c>
      <c r="P122" s="4" t="str">
        <f t="shared" si="9"/>
        <v>No</v>
      </c>
    </row>
    <row r="123" spans="1:16" ht="14.25" customHeight="1" x14ac:dyDescent="0.35">
      <c r="A123" s="4">
        <v>15922</v>
      </c>
      <c r="B123" s="4" t="s">
        <v>28</v>
      </c>
      <c r="C123" s="4" t="s">
        <v>28</v>
      </c>
      <c r="D123" s="5">
        <v>150000</v>
      </c>
      <c r="E123" s="4">
        <v>2</v>
      </c>
      <c r="F123" s="4" t="s">
        <v>45</v>
      </c>
      <c r="G123" s="4" t="s">
        <v>38</v>
      </c>
      <c r="H123" s="4" t="s">
        <v>32</v>
      </c>
      <c r="I123" s="4">
        <v>4</v>
      </c>
      <c r="J123" s="4" t="s">
        <v>33</v>
      </c>
      <c r="K123" s="4" t="s">
        <v>34</v>
      </c>
      <c r="L123" s="4">
        <v>48</v>
      </c>
      <c r="M123" s="4" t="s">
        <v>35</v>
      </c>
      <c r="N123" s="4">
        <f t="shared" si="7"/>
        <v>12500</v>
      </c>
      <c r="O123" s="4" t="str">
        <f t="shared" si="8"/>
        <v>High Income</v>
      </c>
      <c r="P123" s="4" t="str">
        <f t="shared" si="9"/>
        <v>No</v>
      </c>
    </row>
    <row r="124" spans="1:16" ht="14.25" customHeight="1" x14ac:dyDescent="0.35">
      <c r="A124" s="4">
        <v>12344</v>
      </c>
      <c r="B124" s="4" t="s">
        <v>40</v>
      </c>
      <c r="C124" s="4" t="s">
        <v>29</v>
      </c>
      <c r="D124" s="5">
        <v>80000</v>
      </c>
      <c r="E124" s="4">
        <v>0</v>
      </c>
      <c r="F124" s="4" t="s">
        <v>30</v>
      </c>
      <c r="G124" s="4" t="s">
        <v>38</v>
      </c>
      <c r="H124" s="4" t="s">
        <v>35</v>
      </c>
      <c r="I124" s="4">
        <v>3</v>
      </c>
      <c r="J124" s="4" t="s">
        <v>48</v>
      </c>
      <c r="K124" s="4" t="s">
        <v>42</v>
      </c>
      <c r="L124" s="4">
        <v>31</v>
      </c>
      <c r="M124" s="4" t="s">
        <v>35</v>
      </c>
      <c r="N124" s="4">
        <f t="shared" si="7"/>
        <v>6666.666666666667</v>
      </c>
      <c r="O124" s="4" t="str">
        <f t="shared" si="8"/>
        <v>High Income</v>
      </c>
      <c r="P124" s="4" t="str">
        <f t="shared" si="9"/>
        <v>Yes</v>
      </c>
    </row>
    <row r="125" spans="1:16" ht="14.25" customHeight="1" x14ac:dyDescent="0.35">
      <c r="A125" s="4">
        <v>23627</v>
      </c>
      <c r="B125" s="4" t="s">
        <v>40</v>
      </c>
      <c r="C125" s="4" t="s">
        <v>29</v>
      </c>
      <c r="D125" s="5">
        <v>100000</v>
      </c>
      <c r="E125" s="4">
        <v>3</v>
      </c>
      <c r="F125" s="4" t="s">
        <v>36</v>
      </c>
      <c r="G125" s="4" t="s">
        <v>46</v>
      </c>
      <c r="H125" s="4" t="s">
        <v>35</v>
      </c>
      <c r="I125" s="4">
        <v>4</v>
      </c>
      <c r="J125" s="4" t="s">
        <v>41</v>
      </c>
      <c r="K125" s="4" t="s">
        <v>34</v>
      </c>
      <c r="L125" s="4">
        <v>56</v>
      </c>
      <c r="M125" s="4" t="s">
        <v>35</v>
      </c>
      <c r="N125" s="4">
        <f t="shared" si="7"/>
        <v>8333.3333333333339</v>
      </c>
      <c r="O125" s="4" t="str">
        <f t="shared" si="8"/>
        <v>High Income</v>
      </c>
      <c r="P125" s="4" t="str">
        <f t="shared" si="9"/>
        <v>No</v>
      </c>
    </row>
    <row r="126" spans="1:16" ht="14.25" customHeight="1" x14ac:dyDescent="0.35">
      <c r="A126" s="4">
        <v>27775</v>
      </c>
      <c r="B126" s="4" t="s">
        <v>40</v>
      </c>
      <c r="C126" s="4" t="s">
        <v>29</v>
      </c>
      <c r="D126" s="5">
        <v>40000</v>
      </c>
      <c r="E126" s="4">
        <v>0</v>
      </c>
      <c r="F126" s="4" t="s">
        <v>30</v>
      </c>
      <c r="G126" s="4" t="s">
        <v>37</v>
      </c>
      <c r="H126" s="4" t="s">
        <v>35</v>
      </c>
      <c r="I126" s="4">
        <v>0</v>
      </c>
      <c r="J126" s="4" t="s">
        <v>33</v>
      </c>
      <c r="K126" s="4" t="s">
        <v>34</v>
      </c>
      <c r="L126" s="4">
        <v>38</v>
      </c>
      <c r="M126" s="4" t="s">
        <v>32</v>
      </c>
      <c r="N126" s="4">
        <f t="shared" si="7"/>
        <v>3333.3333333333335</v>
      </c>
      <c r="O126" s="4" t="str">
        <f t="shared" si="8"/>
        <v>Less Income</v>
      </c>
      <c r="P126" s="4" t="str">
        <f t="shared" si="9"/>
        <v>No</v>
      </c>
    </row>
    <row r="127" spans="1:16" ht="14.25" customHeight="1" x14ac:dyDescent="0.35">
      <c r="A127" s="4">
        <v>29301</v>
      </c>
      <c r="B127" s="4" t="s">
        <v>28</v>
      </c>
      <c r="C127" s="4" t="s">
        <v>28</v>
      </c>
      <c r="D127" s="5">
        <v>80000</v>
      </c>
      <c r="E127" s="4">
        <v>5</v>
      </c>
      <c r="F127" s="4" t="s">
        <v>30</v>
      </c>
      <c r="G127" s="4" t="s">
        <v>38</v>
      </c>
      <c r="H127" s="4" t="s">
        <v>32</v>
      </c>
      <c r="I127" s="4">
        <v>4</v>
      </c>
      <c r="J127" s="4" t="s">
        <v>44</v>
      </c>
      <c r="K127" s="4" t="s">
        <v>42</v>
      </c>
      <c r="L127" s="4">
        <v>40</v>
      </c>
      <c r="M127" s="4" t="s">
        <v>35</v>
      </c>
      <c r="N127" s="4">
        <f t="shared" si="7"/>
        <v>6666.666666666667</v>
      </c>
      <c r="O127" s="4" t="str">
        <f t="shared" si="8"/>
        <v>High Income</v>
      </c>
      <c r="P127" s="4" t="str">
        <f t="shared" si="9"/>
        <v>No</v>
      </c>
    </row>
    <row r="128" spans="1:16" ht="14.25" customHeight="1" x14ac:dyDescent="0.35">
      <c r="A128" s="4">
        <v>12716</v>
      </c>
      <c r="B128" s="4" t="s">
        <v>40</v>
      </c>
      <c r="C128" s="4" t="s">
        <v>28</v>
      </c>
      <c r="D128" s="5">
        <v>30000</v>
      </c>
      <c r="E128" s="4">
        <v>0</v>
      </c>
      <c r="F128" s="4" t="s">
        <v>36</v>
      </c>
      <c r="G128" s="4" t="s">
        <v>37</v>
      </c>
      <c r="H128" s="4" t="s">
        <v>32</v>
      </c>
      <c r="I128" s="4">
        <v>1</v>
      </c>
      <c r="J128" s="4" t="s">
        <v>39</v>
      </c>
      <c r="K128" s="4" t="s">
        <v>34</v>
      </c>
      <c r="L128" s="4">
        <v>32</v>
      </c>
      <c r="M128" s="4" t="s">
        <v>35</v>
      </c>
      <c r="N128" s="4">
        <f t="shared" si="7"/>
        <v>2500</v>
      </c>
      <c r="O128" s="4" t="str">
        <f t="shared" si="8"/>
        <v>Less Income</v>
      </c>
      <c r="P128" s="4" t="str">
        <f t="shared" si="9"/>
        <v>No</v>
      </c>
    </row>
    <row r="129" spans="1:16" ht="14.25" customHeight="1" x14ac:dyDescent="0.35">
      <c r="A129" s="4">
        <v>12472</v>
      </c>
      <c r="B129" s="4" t="s">
        <v>28</v>
      </c>
      <c r="C129" s="4" t="s">
        <v>28</v>
      </c>
      <c r="D129" s="5">
        <v>30000</v>
      </c>
      <c r="E129" s="4">
        <v>1</v>
      </c>
      <c r="F129" s="4" t="s">
        <v>30</v>
      </c>
      <c r="G129" s="4" t="s">
        <v>37</v>
      </c>
      <c r="H129" s="4" t="s">
        <v>32</v>
      </c>
      <c r="I129" s="4">
        <v>1</v>
      </c>
      <c r="J129" s="4" t="s">
        <v>39</v>
      </c>
      <c r="K129" s="4" t="s">
        <v>34</v>
      </c>
      <c r="L129" s="4">
        <v>39</v>
      </c>
      <c r="M129" s="4" t="s">
        <v>35</v>
      </c>
      <c r="N129" s="4">
        <f t="shared" si="7"/>
        <v>2500</v>
      </c>
      <c r="O129" s="4" t="str">
        <f t="shared" si="8"/>
        <v>Less Income</v>
      </c>
      <c r="P129" s="4" t="str">
        <f t="shared" si="9"/>
        <v>No</v>
      </c>
    </row>
    <row r="130" spans="1:16" ht="14.25" customHeight="1" x14ac:dyDescent="0.35">
      <c r="A130" s="4">
        <v>20970</v>
      </c>
      <c r="B130" s="4" t="s">
        <v>40</v>
      </c>
      <c r="C130" s="4" t="s">
        <v>28</v>
      </c>
      <c r="D130" s="5">
        <v>10000</v>
      </c>
      <c r="E130" s="4">
        <v>2</v>
      </c>
      <c r="F130" s="4" t="s">
        <v>36</v>
      </c>
      <c r="G130" s="4" t="s">
        <v>43</v>
      </c>
      <c r="H130" s="4" t="s">
        <v>32</v>
      </c>
      <c r="I130" s="4">
        <v>1</v>
      </c>
      <c r="J130" s="4" t="s">
        <v>33</v>
      </c>
      <c r="K130" s="4" t="s">
        <v>34</v>
      </c>
      <c r="L130" s="4">
        <v>52</v>
      </c>
      <c r="M130" s="4" t="s">
        <v>32</v>
      </c>
      <c r="N130" s="4">
        <f t="shared" si="7"/>
        <v>833.33333333333337</v>
      </c>
      <c r="O130" s="4" t="str">
        <f t="shared" ref="O130:O161" si="10">IF(D130&gt;70000, "High Income", "Less Income")</f>
        <v>Less Income</v>
      </c>
      <c r="P130" s="4" t="str">
        <f t="shared" ref="P130:P161" si="11">IF(AND(D130&gt;70000,L130&lt;40), "Yes", "No")</f>
        <v>No</v>
      </c>
    </row>
    <row r="131" spans="1:16" ht="14.25" customHeight="1" x14ac:dyDescent="0.35">
      <c r="A131" s="4">
        <v>26818</v>
      </c>
      <c r="B131" s="4" t="s">
        <v>40</v>
      </c>
      <c r="C131" s="4" t="s">
        <v>28</v>
      </c>
      <c r="D131" s="5">
        <v>10000</v>
      </c>
      <c r="E131" s="4">
        <v>3</v>
      </c>
      <c r="F131" s="4" t="s">
        <v>45</v>
      </c>
      <c r="G131" s="4" t="s">
        <v>43</v>
      </c>
      <c r="H131" s="4" t="s">
        <v>32</v>
      </c>
      <c r="I131" s="4">
        <v>1</v>
      </c>
      <c r="J131" s="4" t="s">
        <v>33</v>
      </c>
      <c r="K131" s="4" t="s">
        <v>34</v>
      </c>
      <c r="L131" s="4">
        <v>39</v>
      </c>
      <c r="M131" s="4" t="s">
        <v>32</v>
      </c>
      <c r="N131" s="4">
        <f t="shared" ref="N131:N194" si="12">D131/12</f>
        <v>833.33333333333337</v>
      </c>
      <c r="O131" s="4" t="str">
        <f t="shared" si="10"/>
        <v>Less Income</v>
      </c>
      <c r="P131" s="4" t="str">
        <f t="shared" si="11"/>
        <v>No</v>
      </c>
    </row>
    <row r="132" spans="1:16" ht="14.25" customHeight="1" x14ac:dyDescent="0.35">
      <c r="A132" s="4">
        <v>12993</v>
      </c>
      <c r="B132" s="4" t="s">
        <v>28</v>
      </c>
      <c r="C132" s="4" t="s">
        <v>28</v>
      </c>
      <c r="D132" s="5">
        <v>60000</v>
      </c>
      <c r="E132" s="4">
        <v>2</v>
      </c>
      <c r="F132" s="4" t="s">
        <v>30</v>
      </c>
      <c r="G132" s="4" t="s">
        <v>38</v>
      </c>
      <c r="H132" s="4" t="s">
        <v>32</v>
      </c>
      <c r="I132" s="4">
        <v>1</v>
      </c>
      <c r="J132" s="4" t="s">
        <v>39</v>
      </c>
      <c r="K132" s="4" t="s">
        <v>42</v>
      </c>
      <c r="L132" s="4">
        <v>37</v>
      </c>
      <c r="M132" s="4" t="s">
        <v>35</v>
      </c>
      <c r="N132" s="4">
        <f t="shared" si="12"/>
        <v>5000</v>
      </c>
      <c r="O132" s="4" t="str">
        <f t="shared" si="10"/>
        <v>Less Income</v>
      </c>
      <c r="P132" s="4" t="str">
        <f t="shared" si="11"/>
        <v>No</v>
      </c>
    </row>
    <row r="133" spans="1:16" ht="14.25" customHeight="1" x14ac:dyDescent="0.35">
      <c r="A133" s="4">
        <v>14192</v>
      </c>
      <c r="B133" s="4" t="s">
        <v>28</v>
      </c>
      <c r="C133" s="4" t="s">
        <v>28</v>
      </c>
      <c r="D133" s="5">
        <v>90000</v>
      </c>
      <c r="E133" s="4">
        <v>4</v>
      </c>
      <c r="F133" s="4" t="s">
        <v>45</v>
      </c>
      <c r="G133" s="4" t="s">
        <v>46</v>
      </c>
      <c r="H133" s="4" t="s">
        <v>32</v>
      </c>
      <c r="I133" s="4">
        <v>3</v>
      </c>
      <c r="J133" s="4" t="s">
        <v>41</v>
      </c>
      <c r="K133" s="4" t="s">
        <v>34</v>
      </c>
      <c r="L133" s="4">
        <v>56</v>
      </c>
      <c r="M133" s="4" t="s">
        <v>32</v>
      </c>
      <c r="N133" s="4">
        <f t="shared" si="12"/>
        <v>7500</v>
      </c>
      <c r="O133" s="4" t="str">
        <f t="shared" si="10"/>
        <v>High Income</v>
      </c>
      <c r="P133" s="4" t="str">
        <f t="shared" si="11"/>
        <v>No</v>
      </c>
    </row>
    <row r="134" spans="1:16" ht="14.25" customHeight="1" x14ac:dyDescent="0.35">
      <c r="A134" s="4">
        <v>19477</v>
      </c>
      <c r="B134" s="4" t="s">
        <v>28</v>
      </c>
      <c r="C134" s="4" t="s">
        <v>28</v>
      </c>
      <c r="D134" s="5">
        <v>40000</v>
      </c>
      <c r="E134" s="4">
        <v>0</v>
      </c>
      <c r="F134" s="4" t="s">
        <v>30</v>
      </c>
      <c r="G134" s="4" t="s">
        <v>38</v>
      </c>
      <c r="H134" s="4" t="s">
        <v>32</v>
      </c>
      <c r="I134" s="4">
        <v>0</v>
      </c>
      <c r="J134" s="4" t="s">
        <v>33</v>
      </c>
      <c r="K134" s="4" t="s">
        <v>34</v>
      </c>
      <c r="L134" s="4">
        <v>40</v>
      </c>
      <c r="M134" s="4" t="s">
        <v>32</v>
      </c>
      <c r="N134" s="4">
        <f t="shared" si="12"/>
        <v>3333.3333333333335</v>
      </c>
      <c r="O134" s="4" t="str">
        <f t="shared" si="10"/>
        <v>Less Income</v>
      </c>
      <c r="P134" s="4" t="str">
        <f t="shared" si="11"/>
        <v>No</v>
      </c>
    </row>
    <row r="135" spans="1:16" ht="14.25" customHeight="1" x14ac:dyDescent="0.35">
      <c r="A135" s="4">
        <v>26796</v>
      </c>
      <c r="B135" s="4" t="s">
        <v>40</v>
      </c>
      <c r="C135" s="4" t="s">
        <v>28</v>
      </c>
      <c r="D135" s="5">
        <v>40000</v>
      </c>
      <c r="E135" s="4">
        <v>2</v>
      </c>
      <c r="F135" s="4" t="s">
        <v>30</v>
      </c>
      <c r="G135" s="4" t="s">
        <v>46</v>
      </c>
      <c r="H135" s="4" t="s">
        <v>32</v>
      </c>
      <c r="I135" s="4">
        <v>2</v>
      </c>
      <c r="J135" s="4" t="s">
        <v>41</v>
      </c>
      <c r="K135" s="4" t="s">
        <v>42</v>
      </c>
      <c r="L135" s="4">
        <v>65</v>
      </c>
      <c r="M135" s="4" t="s">
        <v>32</v>
      </c>
      <c r="N135" s="4">
        <f t="shared" si="12"/>
        <v>3333.3333333333335</v>
      </c>
      <c r="O135" s="4" t="str">
        <f t="shared" si="10"/>
        <v>Less Income</v>
      </c>
      <c r="P135" s="4" t="str">
        <f t="shared" si="11"/>
        <v>No</v>
      </c>
    </row>
    <row r="136" spans="1:16" ht="14.25" customHeight="1" x14ac:dyDescent="0.35">
      <c r="A136" s="4">
        <v>21094</v>
      </c>
      <c r="B136" s="4" t="s">
        <v>40</v>
      </c>
      <c r="C136" s="4" t="s">
        <v>29</v>
      </c>
      <c r="D136" s="5">
        <v>30000</v>
      </c>
      <c r="E136" s="4">
        <v>2</v>
      </c>
      <c r="F136" s="4" t="s">
        <v>36</v>
      </c>
      <c r="G136" s="4" t="s">
        <v>37</v>
      </c>
      <c r="H136" s="4" t="s">
        <v>32</v>
      </c>
      <c r="I136" s="4">
        <v>2</v>
      </c>
      <c r="J136" s="4" t="s">
        <v>33</v>
      </c>
      <c r="K136" s="4" t="s">
        <v>34</v>
      </c>
      <c r="L136" s="4">
        <v>42</v>
      </c>
      <c r="M136" s="4" t="s">
        <v>35</v>
      </c>
      <c r="N136" s="4">
        <f t="shared" si="12"/>
        <v>2500</v>
      </c>
      <c r="O136" s="4" t="str">
        <f t="shared" si="10"/>
        <v>Less Income</v>
      </c>
      <c r="P136" s="4" t="str">
        <f t="shared" si="11"/>
        <v>No</v>
      </c>
    </row>
    <row r="137" spans="1:16" ht="14.25" customHeight="1" x14ac:dyDescent="0.35">
      <c r="A137" s="4">
        <v>12234</v>
      </c>
      <c r="B137" s="4" t="s">
        <v>28</v>
      </c>
      <c r="C137" s="4" t="s">
        <v>28</v>
      </c>
      <c r="D137" s="5">
        <v>10000</v>
      </c>
      <c r="E137" s="4">
        <v>2</v>
      </c>
      <c r="F137" s="4" t="s">
        <v>36</v>
      </c>
      <c r="G137" s="4" t="s">
        <v>43</v>
      </c>
      <c r="H137" s="4" t="s">
        <v>32</v>
      </c>
      <c r="I137" s="4">
        <v>1</v>
      </c>
      <c r="J137" s="4" t="s">
        <v>39</v>
      </c>
      <c r="K137" s="4" t="s">
        <v>34</v>
      </c>
      <c r="L137" s="4">
        <v>52</v>
      </c>
      <c r="M137" s="4" t="s">
        <v>35</v>
      </c>
      <c r="N137" s="4">
        <f t="shared" si="12"/>
        <v>833.33333333333337</v>
      </c>
      <c r="O137" s="4" t="str">
        <f t="shared" si="10"/>
        <v>Less Income</v>
      </c>
      <c r="P137" s="4" t="str">
        <f t="shared" si="11"/>
        <v>No</v>
      </c>
    </row>
    <row r="138" spans="1:16" ht="14.25" customHeight="1" x14ac:dyDescent="0.35">
      <c r="A138" s="4">
        <v>28683</v>
      </c>
      <c r="B138" s="4" t="s">
        <v>40</v>
      </c>
      <c r="C138" s="4" t="s">
        <v>29</v>
      </c>
      <c r="D138" s="5">
        <v>10000</v>
      </c>
      <c r="E138" s="4">
        <v>1</v>
      </c>
      <c r="F138" s="4" t="s">
        <v>45</v>
      </c>
      <c r="G138" s="4" t="s">
        <v>43</v>
      </c>
      <c r="H138" s="4" t="s">
        <v>35</v>
      </c>
      <c r="I138" s="4">
        <v>1</v>
      </c>
      <c r="J138" s="4" t="s">
        <v>41</v>
      </c>
      <c r="K138" s="4" t="s">
        <v>34</v>
      </c>
      <c r="L138" s="4">
        <v>35</v>
      </c>
      <c r="M138" s="4" t="s">
        <v>32</v>
      </c>
      <c r="N138" s="4">
        <f t="shared" si="12"/>
        <v>833.33333333333337</v>
      </c>
      <c r="O138" s="4" t="str">
        <f t="shared" si="10"/>
        <v>Less Income</v>
      </c>
      <c r="P138" s="4" t="str">
        <f t="shared" si="11"/>
        <v>No</v>
      </c>
    </row>
    <row r="139" spans="1:16" ht="14.25" customHeight="1" x14ac:dyDescent="0.35">
      <c r="A139" s="4">
        <v>17994</v>
      </c>
      <c r="B139" s="4" t="s">
        <v>40</v>
      </c>
      <c r="C139" s="4" t="s">
        <v>28</v>
      </c>
      <c r="D139" s="5">
        <v>20000</v>
      </c>
      <c r="E139" s="4">
        <v>2</v>
      </c>
      <c r="F139" s="4" t="s">
        <v>45</v>
      </c>
      <c r="G139" s="4" t="s">
        <v>43</v>
      </c>
      <c r="H139" s="4" t="s">
        <v>32</v>
      </c>
      <c r="I139" s="4">
        <v>2</v>
      </c>
      <c r="J139" s="4" t="s">
        <v>33</v>
      </c>
      <c r="K139" s="4" t="s">
        <v>34</v>
      </c>
      <c r="L139" s="4">
        <v>42</v>
      </c>
      <c r="M139" s="4" t="s">
        <v>35</v>
      </c>
      <c r="N139" s="4">
        <f t="shared" si="12"/>
        <v>1666.6666666666667</v>
      </c>
      <c r="O139" s="4" t="str">
        <f t="shared" si="10"/>
        <v>Less Income</v>
      </c>
      <c r="P139" s="4" t="str">
        <f t="shared" si="11"/>
        <v>No</v>
      </c>
    </row>
    <row r="140" spans="1:16" ht="14.25" customHeight="1" x14ac:dyDescent="0.35">
      <c r="A140" s="4">
        <v>24273</v>
      </c>
      <c r="B140" s="4" t="s">
        <v>28</v>
      </c>
      <c r="C140" s="4" t="s">
        <v>29</v>
      </c>
      <c r="D140" s="5">
        <v>20000</v>
      </c>
      <c r="E140" s="4">
        <v>2</v>
      </c>
      <c r="F140" s="4" t="s">
        <v>47</v>
      </c>
      <c r="G140" s="4" t="s">
        <v>37</v>
      </c>
      <c r="H140" s="4" t="s">
        <v>32</v>
      </c>
      <c r="I140" s="4">
        <v>2</v>
      </c>
      <c r="J140" s="4" t="s">
        <v>41</v>
      </c>
      <c r="K140" s="4" t="s">
        <v>42</v>
      </c>
      <c r="L140" s="4">
        <v>55</v>
      </c>
      <c r="M140" s="4" t="s">
        <v>32</v>
      </c>
      <c r="N140" s="4">
        <f t="shared" si="12"/>
        <v>1666.6666666666667</v>
      </c>
      <c r="O140" s="4" t="str">
        <f t="shared" si="10"/>
        <v>Less Income</v>
      </c>
      <c r="P140" s="4" t="str">
        <f t="shared" si="11"/>
        <v>No</v>
      </c>
    </row>
    <row r="141" spans="1:16" ht="14.25" customHeight="1" x14ac:dyDescent="0.35">
      <c r="A141" s="4">
        <v>26547</v>
      </c>
      <c r="B141" s="4" t="s">
        <v>40</v>
      </c>
      <c r="C141" s="4" t="s">
        <v>29</v>
      </c>
      <c r="D141" s="5">
        <v>30000</v>
      </c>
      <c r="E141" s="4">
        <v>2</v>
      </c>
      <c r="F141" s="4" t="s">
        <v>36</v>
      </c>
      <c r="G141" s="4" t="s">
        <v>37</v>
      </c>
      <c r="H141" s="4" t="s">
        <v>35</v>
      </c>
      <c r="I141" s="4">
        <v>2</v>
      </c>
      <c r="J141" s="4" t="s">
        <v>41</v>
      </c>
      <c r="K141" s="4" t="s">
        <v>42</v>
      </c>
      <c r="L141" s="4">
        <v>60</v>
      </c>
      <c r="M141" s="4" t="s">
        <v>32</v>
      </c>
      <c r="N141" s="4">
        <f t="shared" si="12"/>
        <v>2500</v>
      </c>
      <c r="O141" s="4" t="str">
        <f t="shared" si="10"/>
        <v>Less Income</v>
      </c>
      <c r="P141" s="4" t="str">
        <f t="shared" si="11"/>
        <v>No</v>
      </c>
    </row>
    <row r="142" spans="1:16" ht="14.25" customHeight="1" x14ac:dyDescent="0.35">
      <c r="A142" s="4">
        <v>22500</v>
      </c>
      <c r="B142" s="4" t="s">
        <v>40</v>
      </c>
      <c r="C142" s="4" t="s">
        <v>28</v>
      </c>
      <c r="D142" s="5">
        <v>40000</v>
      </c>
      <c r="E142" s="4">
        <v>0</v>
      </c>
      <c r="F142" s="4" t="s">
        <v>30</v>
      </c>
      <c r="G142" s="4" t="s">
        <v>38</v>
      </c>
      <c r="H142" s="4" t="s">
        <v>35</v>
      </c>
      <c r="I142" s="4">
        <v>0</v>
      </c>
      <c r="J142" s="4" t="s">
        <v>33</v>
      </c>
      <c r="K142" s="4" t="s">
        <v>34</v>
      </c>
      <c r="L142" s="4">
        <v>40</v>
      </c>
      <c r="M142" s="4" t="s">
        <v>32</v>
      </c>
      <c r="N142" s="4">
        <f t="shared" si="12"/>
        <v>3333.3333333333335</v>
      </c>
      <c r="O142" s="4" t="str">
        <f t="shared" si="10"/>
        <v>Less Income</v>
      </c>
      <c r="P142" s="4" t="str">
        <f t="shared" si="11"/>
        <v>No</v>
      </c>
    </row>
    <row r="143" spans="1:16" ht="14.25" customHeight="1" x14ac:dyDescent="0.35">
      <c r="A143" s="4">
        <v>23993</v>
      </c>
      <c r="B143" s="4" t="s">
        <v>40</v>
      </c>
      <c r="C143" s="4" t="s">
        <v>29</v>
      </c>
      <c r="D143" s="5">
        <v>10000</v>
      </c>
      <c r="E143" s="4">
        <v>0</v>
      </c>
      <c r="F143" s="4" t="s">
        <v>36</v>
      </c>
      <c r="G143" s="4" t="s">
        <v>43</v>
      </c>
      <c r="H143" s="4" t="s">
        <v>35</v>
      </c>
      <c r="I143" s="4">
        <v>1</v>
      </c>
      <c r="J143" s="4" t="s">
        <v>33</v>
      </c>
      <c r="K143" s="4" t="s">
        <v>42</v>
      </c>
      <c r="L143" s="4">
        <v>26</v>
      </c>
      <c r="M143" s="4" t="s">
        <v>32</v>
      </c>
      <c r="N143" s="4">
        <f t="shared" si="12"/>
        <v>833.33333333333337</v>
      </c>
      <c r="O143" s="4" t="str">
        <f t="shared" si="10"/>
        <v>Less Income</v>
      </c>
      <c r="P143" s="4" t="str">
        <f t="shared" si="11"/>
        <v>No</v>
      </c>
    </row>
    <row r="144" spans="1:16" ht="14.25" customHeight="1" x14ac:dyDescent="0.35">
      <c r="A144" s="4">
        <v>14832</v>
      </c>
      <c r="B144" s="4" t="s">
        <v>28</v>
      </c>
      <c r="C144" s="4" t="s">
        <v>28</v>
      </c>
      <c r="D144" s="5">
        <v>40000</v>
      </c>
      <c r="E144" s="4">
        <v>1</v>
      </c>
      <c r="F144" s="4" t="s">
        <v>30</v>
      </c>
      <c r="G144" s="4" t="s">
        <v>31</v>
      </c>
      <c r="H144" s="4" t="s">
        <v>32</v>
      </c>
      <c r="I144" s="4">
        <v>0</v>
      </c>
      <c r="J144" s="4" t="s">
        <v>33</v>
      </c>
      <c r="K144" s="4" t="s">
        <v>34</v>
      </c>
      <c r="L144" s="4">
        <v>42</v>
      </c>
      <c r="M144" s="4" t="s">
        <v>32</v>
      </c>
      <c r="N144" s="4">
        <f t="shared" si="12"/>
        <v>3333.3333333333335</v>
      </c>
      <c r="O144" s="4" t="str">
        <f t="shared" si="10"/>
        <v>Less Income</v>
      </c>
      <c r="P144" s="4" t="str">
        <f t="shared" si="11"/>
        <v>No</v>
      </c>
    </row>
    <row r="145" spans="1:16" ht="14.25" customHeight="1" x14ac:dyDescent="0.35">
      <c r="A145" s="4">
        <v>16614</v>
      </c>
      <c r="B145" s="4" t="s">
        <v>28</v>
      </c>
      <c r="C145" s="4" t="s">
        <v>29</v>
      </c>
      <c r="D145" s="5">
        <v>80000</v>
      </c>
      <c r="E145" s="4">
        <v>0</v>
      </c>
      <c r="F145" s="4" t="s">
        <v>30</v>
      </c>
      <c r="G145" s="4" t="s">
        <v>38</v>
      </c>
      <c r="H145" s="4" t="s">
        <v>32</v>
      </c>
      <c r="I145" s="4">
        <v>3</v>
      </c>
      <c r="J145" s="4" t="s">
        <v>48</v>
      </c>
      <c r="K145" s="4" t="s">
        <v>42</v>
      </c>
      <c r="L145" s="4">
        <v>32</v>
      </c>
      <c r="M145" s="4" t="s">
        <v>35</v>
      </c>
      <c r="N145" s="4">
        <f t="shared" si="12"/>
        <v>6666.666666666667</v>
      </c>
      <c r="O145" s="4" t="str">
        <f t="shared" si="10"/>
        <v>High Income</v>
      </c>
      <c r="P145" s="4" t="str">
        <f t="shared" si="11"/>
        <v>Yes</v>
      </c>
    </row>
    <row r="146" spans="1:16" ht="14.25" customHeight="1" x14ac:dyDescent="0.35">
      <c r="A146" s="4">
        <v>20877</v>
      </c>
      <c r="B146" s="4" t="s">
        <v>40</v>
      </c>
      <c r="C146" s="4" t="s">
        <v>28</v>
      </c>
      <c r="D146" s="5">
        <v>30000</v>
      </c>
      <c r="E146" s="4">
        <v>1</v>
      </c>
      <c r="F146" s="4" t="s">
        <v>30</v>
      </c>
      <c r="G146" s="4" t="s">
        <v>37</v>
      </c>
      <c r="H146" s="4" t="s">
        <v>32</v>
      </c>
      <c r="I146" s="4">
        <v>0</v>
      </c>
      <c r="J146" s="4" t="s">
        <v>44</v>
      </c>
      <c r="K146" s="4" t="s">
        <v>34</v>
      </c>
      <c r="L146" s="4">
        <v>37</v>
      </c>
      <c r="M146" s="4" t="s">
        <v>32</v>
      </c>
      <c r="N146" s="4">
        <f t="shared" si="12"/>
        <v>2500</v>
      </c>
      <c r="O146" s="4" t="str">
        <f t="shared" si="10"/>
        <v>Less Income</v>
      </c>
      <c r="P146" s="4" t="str">
        <f t="shared" si="11"/>
        <v>No</v>
      </c>
    </row>
    <row r="147" spans="1:16" ht="14.25" customHeight="1" x14ac:dyDescent="0.35">
      <c r="A147" s="4">
        <v>20729</v>
      </c>
      <c r="B147" s="4" t="s">
        <v>28</v>
      </c>
      <c r="C147" s="4" t="s">
        <v>29</v>
      </c>
      <c r="D147" s="5">
        <v>40000</v>
      </c>
      <c r="E147" s="4">
        <v>2</v>
      </c>
      <c r="F147" s="4" t="s">
        <v>36</v>
      </c>
      <c r="G147" s="4" t="s">
        <v>37</v>
      </c>
      <c r="H147" s="4" t="s">
        <v>35</v>
      </c>
      <c r="I147" s="4">
        <v>1</v>
      </c>
      <c r="J147" s="4" t="s">
        <v>33</v>
      </c>
      <c r="K147" s="4" t="s">
        <v>34</v>
      </c>
      <c r="L147" s="4">
        <v>34</v>
      </c>
      <c r="M147" s="4" t="s">
        <v>35</v>
      </c>
      <c r="N147" s="4">
        <f t="shared" si="12"/>
        <v>3333.3333333333335</v>
      </c>
      <c r="O147" s="4" t="str">
        <f t="shared" si="10"/>
        <v>Less Income</v>
      </c>
      <c r="P147" s="4" t="str">
        <f t="shared" si="11"/>
        <v>No</v>
      </c>
    </row>
    <row r="148" spans="1:16" ht="14.25" customHeight="1" x14ac:dyDescent="0.35">
      <c r="A148" s="4">
        <v>22464</v>
      </c>
      <c r="B148" s="4" t="s">
        <v>28</v>
      </c>
      <c r="C148" s="4" t="s">
        <v>28</v>
      </c>
      <c r="D148" s="5">
        <v>40000</v>
      </c>
      <c r="E148" s="4">
        <v>0</v>
      </c>
      <c r="F148" s="4" t="s">
        <v>49</v>
      </c>
      <c r="G148" s="4" t="s">
        <v>37</v>
      </c>
      <c r="H148" s="4" t="s">
        <v>32</v>
      </c>
      <c r="I148" s="4">
        <v>0</v>
      </c>
      <c r="J148" s="4" t="s">
        <v>33</v>
      </c>
      <c r="K148" s="4" t="s">
        <v>34</v>
      </c>
      <c r="L148" s="4">
        <v>37</v>
      </c>
      <c r="M148" s="4" t="s">
        <v>32</v>
      </c>
      <c r="N148" s="4">
        <f t="shared" si="12"/>
        <v>3333.3333333333335</v>
      </c>
      <c r="O148" s="4" t="str">
        <f t="shared" si="10"/>
        <v>Less Income</v>
      </c>
      <c r="P148" s="4" t="str">
        <f t="shared" si="11"/>
        <v>No</v>
      </c>
    </row>
    <row r="149" spans="1:16" ht="14.25" customHeight="1" x14ac:dyDescent="0.35">
      <c r="A149" s="4">
        <v>19475</v>
      </c>
      <c r="B149" s="4" t="s">
        <v>28</v>
      </c>
      <c r="C149" s="4" t="s">
        <v>29</v>
      </c>
      <c r="D149" s="5">
        <v>40000</v>
      </c>
      <c r="E149" s="4">
        <v>0</v>
      </c>
      <c r="F149" s="4" t="s">
        <v>30</v>
      </c>
      <c r="G149" s="4" t="s">
        <v>38</v>
      </c>
      <c r="H149" s="4" t="s">
        <v>35</v>
      </c>
      <c r="I149" s="4">
        <v>0</v>
      </c>
      <c r="J149" s="4" t="s">
        <v>33</v>
      </c>
      <c r="K149" s="4" t="s">
        <v>34</v>
      </c>
      <c r="L149" s="4">
        <v>40</v>
      </c>
      <c r="M149" s="4" t="s">
        <v>32</v>
      </c>
      <c r="N149" s="4">
        <f t="shared" si="12"/>
        <v>3333.3333333333335</v>
      </c>
      <c r="O149" s="4" t="str">
        <f t="shared" si="10"/>
        <v>Less Income</v>
      </c>
      <c r="P149" s="4" t="str">
        <f t="shared" si="11"/>
        <v>No</v>
      </c>
    </row>
    <row r="150" spans="1:16" ht="14.25" customHeight="1" x14ac:dyDescent="0.35">
      <c r="A150" s="4">
        <v>19675</v>
      </c>
      <c r="B150" s="4" t="s">
        <v>28</v>
      </c>
      <c r="C150" s="4" t="s">
        <v>28</v>
      </c>
      <c r="D150" s="5">
        <v>20000</v>
      </c>
      <c r="E150" s="4">
        <v>4</v>
      </c>
      <c r="F150" s="4" t="s">
        <v>45</v>
      </c>
      <c r="G150" s="4" t="s">
        <v>31</v>
      </c>
      <c r="H150" s="4" t="s">
        <v>32</v>
      </c>
      <c r="I150" s="4">
        <v>2</v>
      </c>
      <c r="J150" s="4" t="s">
        <v>41</v>
      </c>
      <c r="K150" s="4" t="s">
        <v>42</v>
      </c>
      <c r="L150" s="4">
        <v>60</v>
      </c>
      <c r="M150" s="4" t="s">
        <v>35</v>
      </c>
      <c r="N150" s="4">
        <f t="shared" si="12"/>
        <v>1666.6666666666667</v>
      </c>
      <c r="O150" s="4" t="str">
        <f t="shared" si="10"/>
        <v>Less Income</v>
      </c>
      <c r="P150" s="4" t="str">
        <f t="shared" si="11"/>
        <v>No</v>
      </c>
    </row>
    <row r="151" spans="1:16" ht="14.25" customHeight="1" x14ac:dyDescent="0.35">
      <c r="A151" s="4">
        <v>12728</v>
      </c>
      <c r="B151" s="4" t="s">
        <v>40</v>
      </c>
      <c r="C151" s="4" t="s">
        <v>28</v>
      </c>
      <c r="D151" s="5">
        <v>30000</v>
      </c>
      <c r="E151" s="4">
        <v>0</v>
      </c>
      <c r="F151" s="4" t="s">
        <v>36</v>
      </c>
      <c r="G151" s="4" t="s">
        <v>37</v>
      </c>
      <c r="H151" s="4" t="s">
        <v>35</v>
      </c>
      <c r="I151" s="4">
        <v>1</v>
      </c>
      <c r="J151" s="4" t="s">
        <v>44</v>
      </c>
      <c r="K151" s="4" t="s">
        <v>34</v>
      </c>
      <c r="L151" s="4">
        <v>27</v>
      </c>
      <c r="M151" s="4" t="s">
        <v>35</v>
      </c>
      <c r="N151" s="4">
        <f t="shared" si="12"/>
        <v>2500</v>
      </c>
      <c r="O151" s="4" t="str">
        <f t="shared" si="10"/>
        <v>Less Income</v>
      </c>
      <c r="P151" s="4" t="str">
        <f t="shared" si="11"/>
        <v>No</v>
      </c>
    </row>
    <row r="152" spans="1:16" ht="14.25" customHeight="1" x14ac:dyDescent="0.35">
      <c r="A152" s="4">
        <v>26154</v>
      </c>
      <c r="B152" s="4" t="s">
        <v>28</v>
      </c>
      <c r="C152" s="4" t="s">
        <v>28</v>
      </c>
      <c r="D152" s="5">
        <v>60000</v>
      </c>
      <c r="E152" s="4">
        <v>1</v>
      </c>
      <c r="F152" s="4" t="s">
        <v>36</v>
      </c>
      <c r="G152" s="4" t="s">
        <v>31</v>
      </c>
      <c r="H152" s="4" t="s">
        <v>32</v>
      </c>
      <c r="I152" s="4">
        <v>1</v>
      </c>
      <c r="J152" s="4" t="s">
        <v>41</v>
      </c>
      <c r="K152" s="4" t="s">
        <v>42</v>
      </c>
      <c r="L152" s="4">
        <v>43</v>
      </c>
      <c r="M152" s="4" t="s">
        <v>32</v>
      </c>
      <c r="N152" s="4">
        <f t="shared" si="12"/>
        <v>5000</v>
      </c>
      <c r="O152" s="4" t="str">
        <f t="shared" si="10"/>
        <v>Less Income</v>
      </c>
      <c r="P152" s="4" t="str">
        <f t="shared" si="11"/>
        <v>No</v>
      </c>
    </row>
    <row r="153" spans="1:16" ht="14.25" customHeight="1" x14ac:dyDescent="0.35">
      <c r="A153" s="4">
        <v>29117</v>
      </c>
      <c r="B153" s="4" t="s">
        <v>40</v>
      </c>
      <c r="C153" s="4" t="s">
        <v>28</v>
      </c>
      <c r="D153" s="5">
        <v>100000</v>
      </c>
      <c r="E153" s="4">
        <v>1</v>
      </c>
      <c r="F153" s="4" t="s">
        <v>30</v>
      </c>
      <c r="G153" s="4" t="s">
        <v>46</v>
      </c>
      <c r="H153" s="4" t="s">
        <v>35</v>
      </c>
      <c r="I153" s="4">
        <v>3</v>
      </c>
      <c r="J153" s="4" t="s">
        <v>33</v>
      </c>
      <c r="K153" s="4" t="s">
        <v>42</v>
      </c>
      <c r="L153" s="4">
        <v>48</v>
      </c>
      <c r="M153" s="4" t="s">
        <v>35</v>
      </c>
      <c r="N153" s="4">
        <f t="shared" si="12"/>
        <v>8333.3333333333339</v>
      </c>
      <c r="O153" s="4" t="str">
        <f t="shared" si="10"/>
        <v>High Income</v>
      </c>
      <c r="P153" s="4" t="str">
        <f t="shared" si="11"/>
        <v>No</v>
      </c>
    </row>
    <row r="154" spans="1:16" ht="14.25" customHeight="1" x14ac:dyDescent="0.35">
      <c r="A154" s="4">
        <v>17845</v>
      </c>
      <c r="B154" s="4" t="s">
        <v>40</v>
      </c>
      <c r="C154" s="4" t="s">
        <v>29</v>
      </c>
      <c r="D154" s="5">
        <v>20000</v>
      </c>
      <c r="E154" s="4">
        <v>0</v>
      </c>
      <c r="F154" s="4" t="s">
        <v>47</v>
      </c>
      <c r="G154" s="4" t="s">
        <v>43</v>
      </c>
      <c r="H154" s="4" t="s">
        <v>35</v>
      </c>
      <c r="I154" s="4">
        <v>2</v>
      </c>
      <c r="J154" s="4" t="s">
        <v>44</v>
      </c>
      <c r="K154" s="4" t="s">
        <v>34</v>
      </c>
      <c r="L154" s="4">
        <v>32</v>
      </c>
      <c r="M154" s="4" t="s">
        <v>35</v>
      </c>
      <c r="N154" s="4">
        <f t="shared" si="12"/>
        <v>1666.6666666666667</v>
      </c>
      <c r="O154" s="4" t="str">
        <f t="shared" si="10"/>
        <v>Less Income</v>
      </c>
      <c r="P154" s="4" t="str">
        <f t="shared" si="11"/>
        <v>No</v>
      </c>
    </row>
    <row r="155" spans="1:16" ht="14.25" customHeight="1" x14ac:dyDescent="0.35">
      <c r="A155" s="4">
        <v>25058</v>
      </c>
      <c r="B155" s="4" t="s">
        <v>28</v>
      </c>
      <c r="C155" s="4" t="s">
        <v>28</v>
      </c>
      <c r="D155" s="5">
        <v>100000</v>
      </c>
      <c r="E155" s="4">
        <v>1</v>
      </c>
      <c r="F155" s="4" t="s">
        <v>30</v>
      </c>
      <c r="G155" s="4" t="s">
        <v>46</v>
      </c>
      <c r="H155" s="4" t="s">
        <v>32</v>
      </c>
      <c r="I155" s="4">
        <v>3</v>
      </c>
      <c r="J155" s="4" t="s">
        <v>39</v>
      </c>
      <c r="K155" s="4" t="s">
        <v>42</v>
      </c>
      <c r="L155" s="4">
        <v>47</v>
      </c>
      <c r="M155" s="4" t="s">
        <v>35</v>
      </c>
      <c r="N155" s="4">
        <f t="shared" si="12"/>
        <v>8333.3333333333339</v>
      </c>
      <c r="O155" s="4" t="str">
        <f t="shared" si="10"/>
        <v>High Income</v>
      </c>
      <c r="P155" s="4" t="str">
        <f t="shared" si="11"/>
        <v>No</v>
      </c>
    </row>
    <row r="156" spans="1:16" ht="14.25" customHeight="1" x14ac:dyDescent="0.35">
      <c r="A156" s="4">
        <v>23426</v>
      </c>
      <c r="B156" s="4" t="s">
        <v>40</v>
      </c>
      <c r="C156" s="4" t="s">
        <v>28</v>
      </c>
      <c r="D156" s="5">
        <v>80000</v>
      </c>
      <c r="E156" s="4">
        <v>5</v>
      </c>
      <c r="F156" s="4" t="s">
        <v>49</v>
      </c>
      <c r="G156" s="4" t="s">
        <v>46</v>
      </c>
      <c r="H156" s="4" t="s">
        <v>32</v>
      </c>
      <c r="I156" s="4">
        <v>3</v>
      </c>
      <c r="J156" s="4" t="s">
        <v>33</v>
      </c>
      <c r="K156" s="4" t="s">
        <v>42</v>
      </c>
      <c r="L156" s="4">
        <v>40</v>
      </c>
      <c r="M156" s="4" t="s">
        <v>35</v>
      </c>
      <c r="N156" s="4">
        <f t="shared" si="12"/>
        <v>6666.666666666667</v>
      </c>
      <c r="O156" s="4" t="str">
        <f t="shared" si="10"/>
        <v>High Income</v>
      </c>
      <c r="P156" s="4" t="str">
        <f t="shared" si="11"/>
        <v>No</v>
      </c>
    </row>
    <row r="157" spans="1:16" ht="14.25" customHeight="1" x14ac:dyDescent="0.35">
      <c r="A157" s="4">
        <v>14798</v>
      </c>
      <c r="B157" s="4" t="s">
        <v>40</v>
      </c>
      <c r="C157" s="4" t="s">
        <v>29</v>
      </c>
      <c r="D157" s="5">
        <v>10000</v>
      </c>
      <c r="E157" s="4">
        <v>4</v>
      </c>
      <c r="F157" s="4" t="s">
        <v>47</v>
      </c>
      <c r="G157" s="4" t="s">
        <v>43</v>
      </c>
      <c r="H157" s="4" t="s">
        <v>32</v>
      </c>
      <c r="I157" s="4">
        <v>2</v>
      </c>
      <c r="J157" s="4" t="s">
        <v>33</v>
      </c>
      <c r="K157" s="4" t="s">
        <v>34</v>
      </c>
      <c r="L157" s="4">
        <v>41</v>
      </c>
      <c r="M157" s="4" t="s">
        <v>32</v>
      </c>
      <c r="N157" s="4">
        <f t="shared" si="12"/>
        <v>833.33333333333337</v>
      </c>
      <c r="O157" s="4" t="str">
        <f t="shared" si="10"/>
        <v>Less Income</v>
      </c>
      <c r="P157" s="4" t="str">
        <f t="shared" si="11"/>
        <v>No</v>
      </c>
    </row>
    <row r="158" spans="1:16" ht="14.25" customHeight="1" x14ac:dyDescent="0.35">
      <c r="A158" s="4">
        <v>12664</v>
      </c>
      <c r="B158" s="4" t="s">
        <v>28</v>
      </c>
      <c r="C158" s="4" t="s">
        <v>29</v>
      </c>
      <c r="D158" s="5">
        <v>130000</v>
      </c>
      <c r="E158" s="4">
        <v>5</v>
      </c>
      <c r="F158" s="4" t="s">
        <v>36</v>
      </c>
      <c r="G158" s="4" t="s">
        <v>38</v>
      </c>
      <c r="H158" s="4" t="s">
        <v>32</v>
      </c>
      <c r="I158" s="4">
        <v>4</v>
      </c>
      <c r="J158" s="4" t="s">
        <v>33</v>
      </c>
      <c r="K158" s="4" t="s">
        <v>34</v>
      </c>
      <c r="L158" s="4">
        <v>59</v>
      </c>
      <c r="M158" s="4" t="s">
        <v>35</v>
      </c>
      <c r="N158" s="4">
        <f t="shared" si="12"/>
        <v>10833.333333333334</v>
      </c>
      <c r="O158" s="4" t="str">
        <f t="shared" si="10"/>
        <v>High Income</v>
      </c>
      <c r="P158" s="4" t="str">
        <f t="shared" si="11"/>
        <v>No</v>
      </c>
    </row>
    <row r="159" spans="1:16" ht="14.25" customHeight="1" x14ac:dyDescent="0.35">
      <c r="A159" s="4">
        <v>23979</v>
      </c>
      <c r="B159" s="4" t="s">
        <v>40</v>
      </c>
      <c r="C159" s="4" t="s">
        <v>28</v>
      </c>
      <c r="D159" s="5">
        <v>10000</v>
      </c>
      <c r="E159" s="4">
        <v>2</v>
      </c>
      <c r="F159" s="4" t="s">
        <v>36</v>
      </c>
      <c r="G159" s="4" t="s">
        <v>43</v>
      </c>
      <c r="H159" s="4" t="s">
        <v>35</v>
      </c>
      <c r="I159" s="4">
        <v>0</v>
      </c>
      <c r="J159" s="4" t="s">
        <v>33</v>
      </c>
      <c r="K159" s="4" t="s">
        <v>34</v>
      </c>
      <c r="L159" s="4">
        <v>50</v>
      </c>
      <c r="M159" s="4" t="s">
        <v>35</v>
      </c>
      <c r="N159" s="4">
        <f t="shared" si="12"/>
        <v>833.33333333333337</v>
      </c>
      <c r="O159" s="4" t="str">
        <f t="shared" si="10"/>
        <v>Less Income</v>
      </c>
      <c r="P159" s="4" t="str">
        <f t="shared" si="11"/>
        <v>No</v>
      </c>
    </row>
    <row r="160" spans="1:16" ht="14.25" customHeight="1" x14ac:dyDescent="0.35">
      <c r="A160" s="4">
        <v>25605</v>
      </c>
      <c r="B160" s="4" t="s">
        <v>40</v>
      </c>
      <c r="C160" s="4" t="s">
        <v>29</v>
      </c>
      <c r="D160" s="5">
        <v>20000</v>
      </c>
      <c r="E160" s="4">
        <v>2</v>
      </c>
      <c r="F160" s="4" t="s">
        <v>36</v>
      </c>
      <c r="G160" s="4" t="s">
        <v>43</v>
      </c>
      <c r="H160" s="4" t="s">
        <v>35</v>
      </c>
      <c r="I160" s="4">
        <v>1</v>
      </c>
      <c r="J160" s="4" t="s">
        <v>33</v>
      </c>
      <c r="K160" s="4" t="s">
        <v>34</v>
      </c>
      <c r="L160" s="4">
        <v>54</v>
      </c>
      <c r="M160" s="4" t="s">
        <v>32</v>
      </c>
      <c r="N160" s="4">
        <f t="shared" si="12"/>
        <v>1666.6666666666667</v>
      </c>
      <c r="O160" s="4" t="str">
        <f t="shared" si="10"/>
        <v>Less Income</v>
      </c>
      <c r="P160" s="4" t="str">
        <f t="shared" si="11"/>
        <v>No</v>
      </c>
    </row>
    <row r="161" spans="1:16" ht="14.25" customHeight="1" x14ac:dyDescent="0.35">
      <c r="A161" s="4">
        <v>20797</v>
      </c>
      <c r="B161" s="4" t="s">
        <v>28</v>
      </c>
      <c r="C161" s="4" t="s">
        <v>29</v>
      </c>
      <c r="D161" s="5">
        <v>10000</v>
      </c>
      <c r="E161" s="4">
        <v>1</v>
      </c>
      <c r="F161" s="4" t="s">
        <v>30</v>
      </c>
      <c r="G161" s="4" t="s">
        <v>43</v>
      </c>
      <c r="H161" s="4" t="s">
        <v>32</v>
      </c>
      <c r="I161" s="4">
        <v>0</v>
      </c>
      <c r="J161" s="4" t="s">
        <v>33</v>
      </c>
      <c r="K161" s="4" t="s">
        <v>34</v>
      </c>
      <c r="L161" s="4">
        <v>48</v>
      </c>
      <c r="M161" s="4" t="s">
        <v>35</v>
      </c>
      <c r="N161" s="4">
        <f t="shared" si="12"/>
        <v>833.33333333333337</v>
      </c>
      <c r="O161" s="4" t="str">
        <f t="shared" si="10"/>
        <v>Less Income</v>
      </c>
      <c r="P161" s="4" t="str">
        <f t="shared" si="11"/>
        <v>No</v>
      </c>
    </row>
    <row r="162" spans="1:16" ht="14.25" customHeight="1" x14ac:dyDescent="0.35">
      <c r="A162" s="4">
        <v>21980</v>
      </c>
      <c r="B162" s="4" t="s">
        <v>40</v>
      </c>
      <c r="C162" s="4" t="s">
        <v>29</v>
      </c>
      <c r="D162" s="5">
        <v>60000</v>
      </c>
      <c r="E162" s="4">
        <v>1</v>
      </c>
      <c r="F162" s="4" t="s">
        <v>30</v>
      </c>
      <c r="G162" s="4" t="s">
        <v>38</v>
      </c>
      <c r="H162" s="4" t="s">
        <v>32</v>
      </c>
      <c r="I162" s="4">
        <v>1</v>
      </c>
      <c r="J162" s="4" t="s">
        <v>41</v>
      </c>
      <c r="K162" s="4" t="s">
        <v>42</v>
      </c>
      <c r="L162" s="4">
        <v>44</v>
      </c>
      <c r="M162" s="4" t="s">
        <v>32</v>
      </c>
      <c r="N162" s="4">
        <f t="shared" si="12"/>
        <v>5000</v>
      </c>
      <c r="O162" s="4" t="str">
        <f t="shared" ref="O162:O193" si="13">IF(D162&gt;70000, "High Income", "Less Income")</f>
        <v>Less Income</v>
      </c>
      <c r="P162" s="4" t="str">
        <f t="shared" ref="P162:P193" si="14">IF(AND(D162&gt;70000,L162&lt;40), "Yes", "No")</f>
        <v>No</v>
      </c>
    </row>
    <row r="163" spans="1:16" ht="14.25" customHeight="1" x14ac:dyDescent="0.35">
      <c r="A163" s="4">
        <v>25460</v>
      </c>
      <c r="B163" s="4" t="s">
        <v>28</v>
      </c>
      <c r="C163" s="4" t="s">
        <v>29</v>
      </c>
      <c r="D163" s="5">
        <v>20000</v>
      </c>
      <c r="E163" s="4">
        <v>2</v>
      </c>
      <c r="F163" s="4" t="s">
        <v>45</v>
      </c>
      <c r="G163" s="4" t="s">
        <v>43</v>
      </c>
      <c r="H163" s="4" t="s">
        <v>32</v>
      </c>
      <c r="I163" s="4">
        <v>0</v>
      </c>
      <c r="J163" s="4" t="s">
        <v>33</v>
      </c>
      <c r="K163" s="4" t="s">
        <v>34</v>
      </c>
      <c r="L163" s="4">
        <v>40</v>
      </c>
      <c r="M163" s="4" t="s">
        <v>32</v>
      </c>
      <c r="N163" s="4">
        <f t="shared" si="12"/>
        <v>1666.6666666666667</v>
      </c>
      <c r="O163" s="4" t="str">
        <f t="shared" si="13"/>
        <v>Less Income</v>
      </c>
      <c r="P163" s="4" t="str">
        <f t="shared" si="14"/>
        <v>No</v>
      </c>
    </row>
    <row r="164" spans="1:16" ht="14.25" customHeight="1" x14ac:dyDescent="0.35">
      <c r="A164" s="4">
        <v>29181</v>
      </c>
      <c r="B164" s="4" t="s">
        <v>40</v>
      </c>
      <c r="C164" s="4" t="s">
        <v>29</v>
      </c>
      <c r="D164" s="5">
        <v>60000</v>
      </c>
      <c r="E164" s="4">
        <v>2</v>
      </c>
      <c r="F164" s="4" t="s">
        <v>30</v>
      </c>
      <c r="G164" s="4" t="s">
        <v>38</v>
      </c>
      <c r="H164" s="4" t="s">
        <v>35</v>
      </c>
      <c r="I164" s="4">
        <v>1</v>
      </c>
      <c r="J164" s="4" t="s">
        <v>33</v>
      </c>
      <c r="K164" s="4" t="s">
        <v>42</v>
      </c>
      <c r="L164" s="4">
        <v>38</v>
      </c>
      <c r="M164" s="4" t="s">
        <v>32</v>
      </c>
      <c r="N164" s="4">
        <f t="shared" si="12"/>
        <v>5000</v>
      </c>
      <c r="O164" s="4" t="str">
        <f t="shared" si="13"/>
        <v>Less Income</v>
      </c>
      <c r="P164" s="4" t="str">
        <f t="shared" si="14"/>
        <v>No</v>
      </c>
    </row>
    <row r="165" spans="1:16" ht="14.25" customHeight="1" x14ac:dyDescent="0.35">
      <c r="A165" s="4">
        <v>24279</v>
      </c>
      <c r="B165" s="4" t="s">
        <v>40</v>
      </c>
      <c r="C165" s="4" t="s">
        <v>28</v>
      </c>
      <c r="D165" s="5">
        <v>40000</v>
      </c>
      <c r="E165" s="4">
        <v>2</v>
      </c>
      <c r="F165" s="4" t="s">
        <v>36</v>
      </c>
      <c r="G165" s="4" t="s">
        <v>31</v>
      </c>
      <c r="H165" s="4" t="s">
        <v>35</v>
      </c>
      <c r="I165" s="4">
        <v>2</v>
      </c>
      <c r="J165" s="4" t="s">
        <v>44</v>
      </c>
      <c r="K165" s="4" t="s">
        <v>42</v>
      </c>
      <c r="L165" s="4">
        <v>52</v>
      </c>
      <c r="M165" s="4" t="s">
        <v>35</v>
      </c>
      <c r="N165" s="4">
        <f t="shared" si="12"/>
        <v>3333.3333333333335</v>
      </c>
      <c r="O165" s="4" t="str">
        <f t="shared" si="13"/>
        <v>Less Income</v>
      </c>
      <c r="P165" s="4" t="str">
        <f t="shared" si="14"/>
        <v>No</v>
      </c>
    </row>
    <row r="166" spans="1:16" ht="14.25" customHeight="1" x14ac:dyDescent="0.35">
      <c r="A166" s="4">
        <v>22402</v>
      </c>
      <c r="B166" s="4" t="s">
        <v>28</v>
      </c>
      <c r="C166" s="4" t="s">
        <v>28</v>
      </c>
      <c r="D166" s="5">
        <v>10000</v>
      </c>
      <c r="E166" s="4">
        <v>0</v>
      </c>
      <c r="F166" s="4" t="s">
        <v>36</v>
      </c>
      <c r="G166" s="4" t="s">
        <v>43</v>
      </c>
      <c r="H166" s="4" t="s">
        <v>32</v>
      </c>
      <c r="I166" s="4">
        <v>1</v>
      </c>
      <c r="J166" s="4" t="s">
        <v>39</v>
      </c>
      <c r="K166" s="4" t="s">
        <v>42</v>
      </c>
      <c r="L166" s="4">
        <v>25</v>
      </c>
      <c r="M166" s="4" t="s">
        <v>32</v>
      </c>
      <c r="N166" s="4">
        <f t="shared" si="12"/>
        <v>833.33333333333337</v>
      </c>
      <c r="O166" s="4" t="str">
        <f t="shared" si="13"/>
        <v>Less Income</v>
      </c>
      <c r="P166" s="4" t="str">
        <f t="shared" si="14"/>
        <v>No</v>
      </c>
    </row>
    <row r="167" spans="1:16" ht="14.25" customHeight="1" x14ac:dyDescent="0.35">
      <c r="A167" s="4">
        <v>15465</v>
      </c>
      <c r="B167" s="4" t="s">
        <v>28</v>
      </c>
      <c r="C167" s="4" t="s">
        <v>29</v>
      </c>
      <c r="D167" s="5">
        <v>10000</v>
      </c>
      <c r="E167" s="4">
        <v>0</v>
      </c>
      <c r="F167" s="4" t="s">
        <v>36</v>
      </c>
      <c r="G167" s="4" t="s">
        <v>43</v>
      </c>
      <c r="H167" s="4" t="s">
        <v>35</v>
      </c>
      <c r="I167" s="4">
        <v>1</v>
      </c>
      <c r="J167" s="4" t="s">
        <v>33</v>
      </c>
      <c r="K167" s="4" t="s">
        <v>42</v>
      </c>
      <c r="L167" s="4">
        <v>25</v>
      </c>
      <c r="M167" s="4" t="s">
        <v>35</v>
      </c>
      <c r="N167" s="4">
        <f t="shared" si="12"/>
        <v>833.33333333333337</v>
      </c>
      <c r="O167" s="4" t="str">
        <f t="shared" si="13"/>
        <v>Less Income</v>
      </c>
      <c r="P167" s="4" t="str">
        <f t="shared" si="14"/>
        <v>No</v>
      </c>
    </row>
    <row r="168" spans="1:16" ht="14.25" customHeight="1" x14ac:dyDescent="0.35">
      <c r="A168" s="4">
        <v>26757</v>
      </c>
      <c r="B168" s="4" t="s">
        <v>40</v>
      </c>
      <c r="C168" s="4" t="s">
        <v>28</v>
      </c>
      <c r="D168" s="5">
        <v>90000</v>
      </c>
      <c r="E168" s="4">
        <v>1</v>
      </c>
      <c r="F168" s="4" t="s">
        <v>30</v>
      </c>
      <c r="G168" s="4" t="s">
        <v>38</v>
      </c>
      <c r="H168" s="4" t="s">
        <v>32</v>
      </c>
      <c r="I168" s="4">
        <v>1</v>
      </c>
      <c r="J168" s="4" t="s">
        <v>39</v>
      </c>
      <c r="K168" s="4" t="s">
        <v>42</v>
      </c>
      <c r="L168" s="4">
        <v>47</v>
      </c>
      <c r="M168" s="4" t="s">
        <v>32</v>
      </c>
      <c r="N168" s="4">
        <f t="shared" si="12"/>
        <v>7500</v>
      </c>
      <c r="O168" s="4" t="str">
        <f t="shared" si="13"/>
        <v>High Income</v>
      </c>
      <c r="P168" s="4" t="str">
        <f t="shared" si="14"/>
        <v>No</v>
      </c>
    </row>
    <row r="169" spans="1:16" ht="14.25" customHeight="1" x14ac:dyDescent="0.35">
      <c r="A169" s="4">
        <v>14233</v>
      </c>
      <c r="B169" s="4" t="s">
        <v>40</v>
      </c>
      <c r="C169" s="4" t="s">
        <v>28</v>
      </c>
      <c r="D169" s="5">
        <v>100000</v>
      </c>
      <c r="E169" s="4">
        <v>0</v>
      </c>
      <c r="F169" s="4" t="s">
        <v>45</v>
      </c>
      <c r="G169" s="4" t="s">
        <v>46</v>
      </c>
      <c r="H169" s="4" t="s">
        <v>32</v>
      </c>
      <c r="I169" s="4">
        <v>3</v>
      </c>
      <c r="J169" s="4" t="s">
        <v>48</v>
      </c>
      <c r="K169" s="4" t="s">
        <v>42</v>
      </c>
      <c r="L169" s="4">
        <v>35</v>
      </c>
      <c r="M169" s="4" t="s">
        <v>35</v>
      </c>
      <c r="N169" s="4">
        <f t="shared" si="12"/>
        <v>8333.3333333333339</v>
      </c>
      <c r="O169" s="4" t="str">
        <f t="shared" si="13"/>
        <v>High Income</v>
      </c>
      <c r="P169" s="4" t="str">
        <f t="shared" si="14"/>
        <v>Yes</v>
      </c>
    </row>
    <row r="170" spans="1:16" ht="14.25" customHeight="1" x14ac:dyDescent="0.35">
      <c r="A170" s="4">
        <v>14058</v>
      </c>
      <c r="B170" s="4" t="s">
        <v>40</v>
      </c>
      <c r="C170" s="4" t="s">
        <v>28</v>
      </c>
      <c r="D170" s="5">
        <v>70000</v>
      </c>
      <c r="E170" s="4">
        <v>0</v>
      </c>
      <c r="F170" s="4" t="s">
        <v>30</v>
      </c>
      <c r="G170" s="4" t="s">
        <v>38</v>
      </c>
      <c r="H170" s="4" t="s">
        <v>35</v>
      </c>
      <c r="I170" s="4">
        <v>1</v>
      </c>
      <c r="J170" s="4" t="s">
        <v>41</v>
      </c>
      <c r="K170" s="4" t="s">
        <v>42</v>
      </c>
      <c r="L170" s="4">
        <v>41</v>
      </c>
      <c r="M170" s="4" t="s">
        <v>32</v>
      </c>
      <c r="N170" s="4">
        <f t="shared" si="12"/>
        <v>5833.333333333333</v>
      </c>
      <c r="O170" s="4" t="str">
        <f t="shared" si="13"/>
        <v>Less Income</v>
      </c>
      <c r="P170" s="4" t="str">
        <f t="shared" si="14"/>
        <v>No</v>
      </c>
    </row>
    <row r="171" spans="1:16" ht="14.25" customHeight="1" x14ac:dyDescent="0.35">
      <c r="A171" s="4">
        <v>12273</v>
      </c>
      <c r="B171" s="4" t="s">
        <v>28</v>
      </c>
      <c r="C171" s="4" t="s">
        <v>28</v>
      </c>
      <c r="D171" s="5">
        <v>30000</v>
      </c>
      <c r="E171" s="4">
        <v>1</v>
      </c>
      <c r="F171" s="4" t="s">
        <v>30</v>
      </c>
      <c r="G171" s="4" t="s">
        <v>37</v>
      </c>
      <c r="H171" s="4" t="s">
        <v>32</v>
      </c>
      <c r="I171" s="4">
        <v>0</v>
      </c>
      <c r="J171" s="4" t="s">
        <v>33</v>
      </c>
      <c r="K171" s="4" t="s">
        <v>34</v>
      </c>
      <c r="L171" s="4">
        <v>47</v>
      </c>
      <c r="M171" s="4" t="s">
        <v>35</v>
      </c>
      <c r="N171" s="4">
        <f t="shared" si="12"/>
        <v>2500</v>
      </c>
      <c r="O171" s="4" t="str">
        <f t="shared" si="13"/>
        <v>Less Income</v>
      </c>
      <c r="P171" s="4" t="str">
        <f t="shared" si="14"/>
        <v>No</v>
      </c>
    </row>
    <row r="172" spans="1:16" ht="14.25" customHeight="1" x14ac:dyDescent="0.35">
      <c r="A172" s="4">
        <v>17203</v>
      </c>
      <c r="B172" s="4" t="s">
        <v>28</v>
      </c>
      <c r="C172" s="4" t="s">
        <v>29</v>
      </c>
      <c r="D172" s="5">
        <v>130000</v>
      </c>
      <c r="E172" s="4">
        <v>4</v>
      </c>
      <c r="F172" s="4" t="s">
        <v>36</v>
      </c>
      <c r="G172" s="4" t="s">
        <v>38</v>
      </c>
      <c r="H172" s="4" t="s">
        <v>32</v>
      </c>
      <c r="I172" s="4">
        <v>4</v>
      </c>
      <c r="J172" s="4" t="s">
        <v>41</v>
      </c>
      <c r="K172" s="4" t="s">
        <v>34</v>
      </c>
      <c r="L172" s="4">
        <v>61</v>
      </c>
      <c r="M172" s="4" t="s">
        <v>32</v>
      </c>
      <c r="N172" s="4">
        <f t="shared" si="12"/>
        <v>10833.333333333334</v>
      </c>
      <c r="O172" s="4" t="str">
        <f t="shared" si="13"/>
        <v>High Income</v>
      </c>
      <c r="P172" s="4" t="str">
        <f t="shared" si="14"/>
        <v>No</v>
      </c>
    </row>
    <row r="173" spans="1:16" ht="14.25" customHeight="1" x14ac:dyDescent="0.35">
      <c r="A173" s="4">
        <v>18144</v>
      </c>
      <c r="B173" s="4" t="s">
        <v>28</v>
      </c>
      <c r="C173" s="4" t="s">
        <v>29</v>
      </c>
      <c r="D173" s="5">
        <v>80000</v>
      </c>
      <c r="E173" s="4">
        <v>5</v>
      </c>
      <c r="F173" s="4" t="s">
        <v>30</v>
      </c>
      <c r="G173" s="4" t="s">
        <v>46</v>
      </c>
      <c r="H173" s="4" t="s">
        <v>32</v>
      </c>
      <c r="I173" s="4">
        <v>2</v>
      </c>
      <c r="J173" s="4" t="s">
        <v>39</v>
      </c>
      <c r="K173" s="4" t="s">
        <v>34</v>
      </c>
      <c r="L173" s="4">
        <v>61</v>
      </c>
      <c r="M173" s="4" t="s">
        <v>35</v>
      </c>
      <c r="N173" s="4">
        <f t="shared" si="12"/>
        <v>6666.666666666667</v>
      </c>
      <c r="O173" s="4" t="str">
        <f t="shared" si="13"/>
        <v>High Income</v>
      </c>
      <c r="P173" s="4" t="str">
        <f t="shared" si="14"/>
        <v>No</v>
      </c>
    </row>
    <row r="174" spans="1:16" ht="14.25" customHeight="1" x14ac:dyDescent="0.35">
      <c r="A174" s="4">
        <v>23963</v>
      </c>
      <c r="B174" s="4" t="s">
        <v>28</v>
      </c>
      <c r="C174" s="4" t="s">
        <v>28</v>
      </c>
      <c r="D174" s="5">
        <v>10000</v>
      </c>
      <c r="E174" s="4">
        <v>0</v>
      </c>
      <c r="F174" s="4" t="s">
        <v>47</v>
      </c>
      <c r="G174" s="4" t="s">
        <v>43</v>
      </c>
      <c r="H174" s="4" t="s">
        <v>35</v>
      </c>
      <c r="I174" s="4">
        <v>2</v>
      </c>
      <c r="J174" s="4" t="s">
        <v>33</v>
      </c>
      <c r="K174" s="4" t="s">
        <v>34</v>
      </c>
      <c r="L174" s="4">
        <v>33</v>
      </c>
      <c r="M174" s="4" t="s">
        <v>35</v>
      </c>
      <c r="N174" s="4">
        <f t="shared" si="12"/>
        <v>833.33333333333337</v>
      </c>
      <c r="O174" s="4" t="str">
        <f t="shared" si="13"/>
        <v>Less Income</v>
      </c>
      <c r="P174" s="4" t="str">
        <f t="shared" si="14"/>
        <v>No</v>
      </c>
    </row>
    <row r="175" spans="1:16" ht="14.25" customHeight="1" x14ac:dyDescent="0.35">
      <c r="A175" s="4">
        <v>17907</v>
      </c>
      <c r="B175" s="4" t="s">
        <v>28</v>
      </c>
      <c r="C175" s="4" t="s">
        <v>29</v>
      </c>
      <c r="D175" s="5">
        <v>10000</v>
      </c>
      <c r="E175" s="4">
        <v>0</v>
      </c>
      <c r="F175" s="4" t="s">
        <v>36</v>
      </c>
      <c r="G175" s="4" t="s">
        <v>43</v>
      </c>
      <c r="H175" s="4" t="s">
        <v>32</v>
      </c>
      <c r="I175" s="4">
        <v>1</v>
      </c>
      <c r="J175" s="4" t="s">
        <v>39</v>
      </c>
      <c r="K175" s="4" t="s">
        <v>42</v>
      </c>
      <c r="L175" s="4">
        <v>27</v>
      </c>
      <c r="M175" s="4" t="s">
        <v>35</v>
      </c>
      <c r="N175" s="4">
        <f t="shared" si="12"/>
        <v>833.33333333333337</v>
      </c>
      <c r="O175" s="4" t="str">
        <f t="shared" si="13"/>
        <v>Less Income</v>
      </c>
      <c r="P175" s="4" t="str">
        <f t="shared" si="14"/>
        <v>No</v>
      </c>
    </row>
    <row r="176" spans="1:16" ht="14.25" customHeight="1" x14ac:dyDescent="0.35">
      <c r="A176" s="4">
        <v>19442</v>
      </c>
      <c r="B176" s="4" t="s">
        <v>40</v>
      </c>
      <c r="C176" s="4" t="s">
        <v>28</v>
      </c>
      <c r="D176" s="5">
        <v>50000</v>
      </c>
      <c r="E176" s="4">
        <v>0</v>
      </c>
      <c r="F176" s="4" t="s">
        <v>49</v>
      </c>
      <c r="G176" s="4" t="s">
        <v>31</v>
      </c>
      <c r="H176" s="4" t="s">
        <v>32</v>
      </c>
      <c r="I176" s="4">
        <v>0</v>
      </c>
      <c r="J176" s="4" t="s">
        <v>33</v>
      </c>
      <c r="K176" s="4" t="s">
        <v>34</v>
      </c>
      <c r="L176" s="4">
        <v>37</v>
      </c>
      <c r="M176" s="4" t="s">
        <v>32</v>
      </c>
      <c r="N176" s="4">
        <f t="shared" si="12"/>
        <v>4166.666666666667</v>
      </c>
      <c r="O176" s="4" t="str">
        <f t="shared" si="13"/>
        <v>Less Income</v>
      </c>
      <c r="P176" s="4" t="str">
        <f t="shared" si="14"/>
        <v>No</v>
      </c>
    </row>
    <row r="177" spans="1:16" ht="14.25" customHeight="1" x14ac:dyDescent="0.35">
      <c r="A177" s="4">
        <v>17504</v>
      </c>
      <c r="B177" s="4" t="s">
        <v>40</v>
      </c>
      <c r="C177" s="4" t="s">
        <v>29</v>
      </c>
      <c r="D177" s="5">
        <v>80000</v>
      </c>
      <c r="E177" s="4">
        <v>2</v>
      </c>
      <c r="F177" s="4" t="s">
        <v>36</v>
      </c>
      <c r="G177" s="4" t="s">
        <v>31</v>
      </c>
      <c r="H177" s="4" t="s">
        <v>32</v>
      </c>
      <c r="I177" s="4">
        <v>2</v>
      </c>
      <c r="J177" s="4" t="s">
        <v>41</v>
      </c>
      <c r="K177" s="4" t="s">
        <v>42</v>
      </c>
      <c r="L177" s="4">
        <v>52</v>
      </c>
      <c r="M177" s="4" t="s">
        <v>32</v>
      </c>
      <c r="N177" s="4">
        <f t="shared" si="12"/>
        <v>6666.666666666667</v>
      </c>
      <c r="O177" s="4" t="str">
        <f t="shared" si="13"/>
        <v>High Income</v>
      </c>
      <c r="P177" s="4" t="str">
        <f t="shared" si="14"/>
        <v>No</v>
      </c>
    </row>
    <row r="178" spans="1:16" ht="14.25" customHeight="1" x14ac:dyDescent="0.35">
      <c r="A178" s="4">
        <v>12253</v>
      </c>
      <c r="B178" s="4" t="s">
        <v>40</v>
      </c>
      <c r="C178" s="4" t="s">
        <v>29</v>
      </c>
      <c r="D178" s="5">
        <v>20000</v>
      </c>
      <c r="E178" s="4">
        <v>0</v>
      </c>
      <c r="F178" s="4" t="s">
        <v>36</v>
      </c>
      <c r="G178" s="4" t="s">
        <v>43</v>
      </c>
      <c r="H178" s="4" t="s">
        <v>32</v>
      </c>
      <c r="I178" s="4">
        <v>0</v>
      </c>
      <c r="J178" s="4" t="s">
        <v>33</v>
      </c>
      <c r="K178" s="4" t="s">
        <v>42</v>
      </c>
      <c r="L178" s="4">
        <v>29</v>
      </c>
      <c r="M178" s="4" t="s">
        <v>32</v>
      </c>
      <c r="N178" s="4">
        <f t="shared" si="12"/>
        <v>1666.6666666666667</v>
      </c>
      <c r="O178" s="4" t="str">
        <f t="shared" si="13"/>
        <v>Less Income</v>
      </c>
      <c r="P178" s="4" t="str">
        <f t="shared" si="14"/>
        <v>No</v>
      </c>
    </row>
    <row r="179" spans="1:16" ht="14.25" customHeight="1" x14ac:dyDescent="0.35">
      <c r="A179" s="4">
        <v>27304</v>
      </c>
      <c r="B179" s="4" t="s">
        <v>40</v>
      </c>
      <c r="C179" s="4" t="s">
        <v>29</v>
      </c>
      <c r="D179" s="5">
        <v>110000</v>
      </c>
      <c r="E179" s="4">
        <v>2</v>
      </c>
      <c r="F179" s="4" t="s">
        <v>36</v>
      </c>
      <c r="G179" s="4" t="s">
        <v>38</v>
      </c>
      <c r="H179" s="4" t="s">
        <v>35</v>
      </c>
      <c r="I179" s="4">
        <v>3</v>
      </c>
      <c r="J179" s="4" t="s">
        <v>41</v>
      </c>
      <c r="K179" s="4" t="s">
        <v>34</v>
      </c>
      <c r="L179" s="4">
        <v>48</v>
      </c>
      <c r="M179" s="4" t="s">
        <v>35</v>
      </c>
      <c r="N179" s="4">
        <f t="shared" si="12"/>
        <v>9166.6666666666661</v>
      </c>
      <c r="O179" s="4" t="str">
        <f t="shared" si="13"/>
        <v>High Income</v>
      </c>
      <c r="P179" s="4" t="str">
        <f t="shared" si="14"/>
        <v>No</v>
      </c>
    </row>
    <row r="180" spans="1:16" ht="14.25" customHeight="1" x14ac:dyDescent="0.35">
      <c r="A180" s="4">
        <v>14191</v>
      </c>
      <c r="B180" s="4" t="s">
        <v>28</v>
      </c>
      <c r="C180" s="4" t="s">
        <v>28</v>
      </c>
      <c r="D180" s="5">
        <v>160000</v>
      </c>
      <c r="E180" s="4">
        <v>4</v>
      </c>
      <c r="F180" s="4" t="s">
        <v>36</v>
      </c>
      <c r="G180" s="4" t="s">
        <v>38</v>
      </c>
      <c r="H180" s="4" t="s">
        <v>35</v>
      </c>
      <c r="I180" s="4">
        <v>2</v>
      </c>
      <c r="J180" s="4" t="s">
        <v>48</v>
      </c>
      <c r="K180" s="4" t="s">
        <v>34</v>
      </c>
      <c r="L180" s="4">
        <v>55</v>
      </c>
      <c r="M180" s="4" t="s">
        <v>32</v>
      </c>
      <c r="N180" s="4">
        <f t="shared" si="12"/>
        <v>13333.333333333334</v>
      </c>
      <c r="O180" s="4" t="str">
        <f t="shared" si="13"/>
        <v>High Income</v>
      </c>
      <c r="P180" s="4" t="str">
        <f t="shared" si="14"/>
        <v>No</v>
      </c>
    </row>
    <row r="181" spans="1:16" ht="14.25" customHeight="1" x14ac:dyDescent="0.35">
      <c r="A181" s="4">
        <v>12212</v>
      </c>
      <c r="B181" s="4" t="s">
        <v>28</v>
      </c>
      <c r="C181" s="4" t="s">
        <v>29</v>
      </c>
      <c r="D181" s="5">
        <v>10000</v>
      </c>
      <c r="E181" s="4">
        <v>0</v>
      </c>
      <c r="F181" s="4" t="s">
        <v>49</v>
      </c>
      <c r="G181" s="4" t="s">
        <v>43</v>
      </c>
      <c r="H181" s="4" t="s">
        <v>32</v>
      </c>
      <c r="I181" s="4">
        <v>0</v>
      </c>
      <c r="J181" s="4" t="s">
        <v>33</v>
      </c>
      <c r="K181" s="4" t="s">
        <v>34</v>
      </c>
      <c r="L181" s="4">
        <v>37</v>
      </c>
      <c r="M181" s="4" t="s">
        <v>32</v>
      </c>
      <c r="N181" s="4">
        <f t="shared" si="12"/>
        <v>833.33333333333337</v>
      </c>
      <c r="O181" s="4" t="str">
        <f t="shared" si="13"/>
        <v>Less Income</v>
      </c>
      <c r="P181" s="4" t="str">
        <f t="shared" si="14"/>
        <v>No</v>
      </c>
    </row>
    <row r="182" spans="1:16" ht="14.25" customHeight="1" x14ac:dyDescent="0.35">
      <c r="A182" s="4">
        <v>25529</v>
      </c>
      <c r="B182" s="4" t="s">
        <v>40</v>
      </c>
      <c r="C182" s="4" t="s">
        <v>28</v>
      </c>
      <c r="D182" s="5">
        <v>10000</v>
      </c>
      <c r="E182" s="4">
        <v>1</v>
      </c>
      <c r="F182" s="4" t="s">
        <v>49</v>
      </c>
      <c r="G182" s="4" t="s">
        <v>43</v>
      </c>
      <c r="H182" s="4" t="s">
        <v>32</v>
      </c>
      <c r="I182" s="4">
        <v>0</v>
      </c>
      <c r="J182" s="4" t="s">
        <v>33</v>
      </c>
      <c r="K182" s="4" t="s">
        <v>34</v>
      </c>
      <c r="L182" s="4">
        <v>44</v>
      </c>
      <c r="M182" s="4" t="s">
        <v>35</v>
      </c>
      <c r="N182" s="4">
        <f t="shared" si="12"/>
        <v>833.33333333333337</v>
      </c>
      <c r="O182" s="4" t="str">
        <f t="shared" si="13"/>
        <v>Less Income</v>
      </c>
      <c r="P182" s="4" t="str">
        <f t="shared" si="14"/>
        <v>No</v>
      </c>
    </row>
    <row r="183" spans="1:16" ht="14.25" customHeight="1" x14ac:dyDescent="0.35">
      <c r="A183" s="4">
        <v>22170</v>
      </c>
      <c r="B183" s="4" t="s">
        <v>28</v>
      </c>
      <c r="C183" s="4" t="s">
        <v>29</v>
      </c>
      <c r="D183" s="5">
        <v>30000</v>
      </c>
      <c r="E183" s="4">
        <v>3</v>
      </c>
      <c r="F183" s="4" t="s">
        <v>36</v>
      </c>
      <c r="G183" s="4" t="s">
        <v>37</v>
      </c>
      <c r="H183" s="4" t="s">
        <v>35</v>
      </c>
      <c r="I183" s="4">
        <v>2</v>
      </c>
      <c r="J183" s="4" t="s">
        <v>44</v>
      </c>
      <c r="K183" s="4" t="s">
        <v>42</v>
      </c>
      <c r="L183" s="4">
        <v>55</v>
      </c>
      <c r="M183" s="4" t="s">
        <v>32</v>
      </c>
      <c r="N183" s="4">
        <f t="shared" si="12"/>
        <v>2500</v>
      </c>
      <c r="O183" s="4" t="str">
        <f t="shared" si="13"/>
        <v>Less Income</v>
      </c>
      <c r="P183" s="4" t="str">
        <f t="shared" si="14"/>
        <v>No</v>
      </c>
    </row>
    <row r="184" spans="1:16" ht="14.25" customHeight="1" x14ac:dyDescent="0.35">
      <c r="A184" s="4">
        <v>19445</v>
      </c>
      <c r="B184" s="4" t="s">
        <v>28</v>
      </c>
      <c r="C184" s="4" t="s">
        <v>29</v>
      </c>
      <c r="D184" s="5">
        <v>10000</v>
      </c>
      <c r="E184" s="4">
        <v>2</v>
      </c>
      <c r="F184" s="4" t="s">
        <v>45</v>
      </c>
      <c r="G184" s="4" t="s">
        <v>43</v>
      </c>
      <c r="H184" s="4" t="s">
        <v>35</v>
      </c>
      <c r="I184" s="4">
        <v>1</v>
      </c>
      <c r="J184" s="4" t="s">
        <v>33</v>
      </c>
      <c r="K184" s="4" t="s">
        <v>34</v>
      </c>
      <c r="L184" s="4">
        <v>38</v>
      </c>
      <c r="M184" s="4" t="s">
        <v>35</v>
      </c>
      <c r="N184" s="4">
        <f t="shared" si="12"/>
        <v>833.33333333333337</v>
      </c>
      <c r="O184" s="4" t="str">
        <f t="shared" si="13"/>
        <v>Less Income</v>
      </c>
      <c r="P184" s="4" t="str">
        <f t="shared" si="14"/>
        <v>No</v>
      </c>
    </row>
    <row r="185" spans="1:16" ht="14.25" customHeight="1" x14ac:dyDescent="0.35">
      <c r="A185" s="4">
        <v>15265</v>
      </c>
      <c r="B185" s="4" t="s">
        <v>40</v>
      </c>
      <c r="C185" s="4" t="s">
        <v>28</v>
      </c>
      <c r="D185" s="5">
        <v>40000</v>
      </c>
      <c r="E185" s="4">
        <v>2</v>
      </c>
      <c r="F185" s="4" t="s">
        <v>30</v>
      </c>
      <c r="G185" s="4" t="s">
        <v>46</v>
      </c>
      <c r="H185" s="4" t="s">
        <v>32</v>
      </c>
      <c r="I185" s="4">
        <v>2</v>
      </c>
      <c r="J185" s="4" t="s">
        <v>41</v>
      </c>
      <c r="K185" s="4" t="s">
        <v>42</v>
      </c>
      <c r="L185" s="4">
        <v>66</v>
      </c>
      <c r="M185" s="4" t="s">
        <v>32</v>
      </c>
      <c r="N185" s="4">
        <f t="shared" si="12"/>
        <v>3333.3333333333335</v>
      </c>
      <c r="O185" s="4" t="str">
        <f t="shared" si="13"/>
        <v>Less Income</v>
      </c>
      <c r="P185" s="4" t="str">
        <f t="shared" si="14"/>
        <v>No</v>
      </c>
    </row>
    <row r="186" spans="1:16" ht="14.25" customHeight="1" x14ac:dyDescent="0.35">
      <c r="A186" s="4">
        <v>28918</v>
      </c>
      <c r="B186" s="4" t="s">
        <v>28</v>
      </c>
      <c r="C186" s="4" t="s">
        <v>29</v>
      </c>
      <c r="D186" s="5">
        <v>130000</v>
      </c>
      <c r="E186" s="4">
        <v>4</v>
      </c>
      <c r="F186" s="4" t="s">
        <v>45</v>
      </c>
      <c r="G186" s="4" t="s">
        <v>46</v>
      </c>
      <c r="H186" s="4" t="s">
        <v>35</v>
      </c>
      <c r="I186" s="4">
        <v>4</v>
      </c>
      <c r="J186" s="4" t="s">
        <v>48</v>
      </c>
      <c r="K186" s="4" t="s">
        <v>34</v>
      </c>
      <c r="L186" s="4">
        <v>58</v>
      </c>
      <c r="M186" s="4" t="s">
        <v>35</v>
      </c>
      <c r="N186" s="4">
        <f t="shared" si="12"/>
        <v>10833.333333333334</v>
      </c>
      <c r="O186" s="4" t="str">
        <f t="shared" si="13"/>
        <v>High Income</v>
      </c>
      <c r="P186" s="4" t="str">
        <f t="shared" si="14"/>
        <v>No</v>
      </c>
    </row>
    <row r="187" spans="1:16" ht="14.25" customHeight="1" x14ac:dyDescent="0.35">
      <c r="A187" s="4">
        <v>15799</v>
      </c>
      <c r="B187" s="4" t="s">
        <v>28</v>
      </c>
      <c r="C187" s="4" t="s">
        <v>29</v>
      </c>
      <c r="D187" s="5">
        <v>90000</v>
      </c>
      <c r="E187" s="4">
        <v>1</v>
      </c>
      <c r="F187" s="4" t="s">
        <v>30</v>
      </c>
      <c r="G187" s="4" t="s">
        <v>38</v>
      </c>
      <c r="H187" s="4" t="s">
        <v>32</v>
      </c>
      <c r="I187" s="4">
        <v>1</v>
      </c>
      <c r="J187" s="4" t="s">
        <v>39</v>
      </c>
      <c r="K187" s="4" t="s">
        <v>42</v>
      </c>
      <c r="L187" s="4">
        <v>47</v>
      </c>
      <c r="M187" s="4" t="s">
        <v>32</v>
      </c>
      <c r="N187" s="4">
        <f t="shared" si="12"/>
        <v>7500</v>
      </c>
      <c r="O187" s="4" t="str">
        <f t="shared" si="13"/>
        <v>High Income</v>
      </c>
      <c r="P187" s="4" t="str">
        <f t="shared" si="14"/>
        <v>No</v>
      </c>
    </row>
    <row r="188" spans="1:16" ht="14.25" customHeight="1" x14ac:dyDescent="0.35">
      <c r="A188" s="4">
        <v>11047</v>
      </c>
      <c r="B188" s="4" t="s">
        <v>28</v>
      </c>
      <c r="C188" s="4" t="s">
        <v>29</v>
      </c>
      <c r="D188" s="5">
        <v>30000</v>
      </c>
      <c r="E188" s="4">
        <v>3</v>
      </c>
      <c r="F188" s="4" t="s">
        <v>45</v>
      </c>
      <c r="G188" s="4" t="s">
        <v>31</v>
      </c>
      <c r="H188" s="4" t="s">
        <v>35</v>
      </c>
      <c r="I188" s="4">
        <v>2</v>
      </c>
      <c r="J188" s="4" t="s">
        <v>44</v>
      </c>
      <c r="K188" s="4" t="s">
        <v>42</v>
      </c>
      <c r="L188" s="4">
        <v>56</v>
      </c>
      <c r="M188" s="4" t="s">
        <v>32</v>
      </c>
      <c r="N188" s="4">
        <f t="shared" si="12"/>
        <v>2500</v>
      </c>
      <c r="O188" s="4" t="str">
        <f t="shared" si="13"/>
        <v>Less Income</v>
      </c>
      <c r="P188" s="4" t="str">
        <f t="shared" si="14"/>
        <v>No</v>
      </c>
    </row>
    <row r="189" spans="1:16" ht="14.25" customHeight="1" x14ac:dyDescent="0.35">
      <c r="A189" s="4">
        <v>18151</v>
      </c>
      <c r="B189" s="4" t="s">
        <v>40</v>
      </c>
      <c r="C189" s="4" t="s">
        <v>28</v>
      </c>
      <c r="D189" s="5">
        <v>80000</v>
      </c>
      <c r="E189" s="4">
        <v>5</v>
      </c>
      <c r="F189" s="4" t="s">
        <v>36</v>
      </c>
      <c r="G189" s="4" t="s">
        <v>38</v>
      </c>
      <c r="H189" s="4" t="s">
        <v>35</v>
      </c>
      <c r="I189" s="4">
        <v>2</v>
      </c>
      <c r="J189" s="4" t="s">
        <v>48</v>
      </c>
      <c r="K189" s="4" t="s">
        <v>34</v>
      </c>
      <c r="L189" s="4">
        <v>59</v>
      </c>
      <c r="M189" s="4" t="s">
        <v>35</v>
      </c>
      <c r="N189" s="4">
        <f t="shared" si="12"/>
        <v>6666.666666666667</v>
      </c>
      <c r="O189" s="4" t="str">
        <f t="shared" si="13"/>
        <v>High Income</v>
      </c>
      <c r="P189" s="4" t="str">
        <f t="shared" si="14"/>
        <v>No</v>
      </c>
    </row>
    <row r="190" spans="1:16" ht="14.25" customHeight="1" x14ac:dyDescent="0.35">
      <c r="A190" s="4">
        <v>20606</v>
      </c>
      <c r="B190" s="4" t="s">
        <v>28</v>
      </c>
      <c r="C190" s="4" t="s">
        <v>29</v>
      </c>
      <c r="D190" s="5">
        <v>70000</v>
      </c>
      <c r="E190" s="4">
        <v>0</v>
      </c>
      <c r="F190" s="4" t="s">
        <v>30</v>
      </c>
      <c r="G190" s="4" t="s">
        <v>38</v>
      </c>
      <c r="H190" s="4" t="s">
        <v>32</v>
      </c>
      <c r="I190" s="4">
        <v>4</v>
      </c>
      <c r="J190" s="4" t="s">
        <v>48</v>
      </c>
      <c r="K190" s="4" t="s">
        <v>42</v>
      </c>
      <c r="L190" s="4">
        <v>32</v>
      </c>
      <c r="M190" s="4" t="s">
        <v>32</v>
      </c>
      <c r="N190" s="4">
        <f t="shared" si="12"/>
        <v>5833.333333333333</v>
      </c>
      <c r="O190" s="4" t="str">
        <f t="shared" si="13"/>
        <v>Less Income</v>
      </c>
      <c r="P190" s="4" t="str">
        <f t="shared" si="14"/>
        <v>No</v>
      </c>
    </row>
    <row r="191" spans="1:16" ht="14.25" customHeight="1" x14ac:dyDescent="0.35">
      <c r="A191" s="4">
        <v>19482</v>
      </c>
      <c r="B191" s="4" t="s">
        <v>28</v>
      </c>
      <c r="C191" s="4" t="s">
        <v>28</v>
      </c>
      <c r="D191" s="5">
        <v>30000</v>
      </c>
      <c r="E191" s="4">
        <v>1</v>
      </c>
      <c r="F191" s="4" t="s">
        <v>36</v>
      </c>
      <c r="G191" s="4" t="s">
        <v>37</v>
      </c>
      <c r="H191" s="4" t="s">
        <v>32</v>
      </c>
      <c r="I191" s="4">
        <v>1</v>
      </c>
      <c r="J191" s="4" t="s">
        <v>33</v>
      </c>
      <c r="K191" s="4" t="s">
        <v>34</v>
      </c>
      <c r="L191" s="4">
        <v>44</v>
      </c>
      <c r="M191" s="4" t="s">
        <v>32</v>
      </c>
      <c r="N191" s="4">
        <f t="shared" si="12"/>
        <v>2500</v>
      </c>
      <c r="O191" s="4" t="str">
        <f t="shared" si="13"/>
        <v>Less Income</v>
      </c>
      <c r="P191" s="4" t="str">
        <f t="shared" si="14"/>
        <v>No</v>
      </c>
    </row>
    <row r="192" spans="1:16" ht="14.25" customHeight="1" x14ac:dyDescent="0.35">
      <c r="A192" s="4">
        <v>16489</v>
      </c>
      <c r="B192" s="4" t="s">
        <v>28</v>
      </c>
      <c r="C192" s="4" t="s">
        <v>28</v>
      </c>
      <c r="D192" s="5">
        <v>30000</v>
      </c>
      <c r="E192" s="4">
        <v>3</v>
      </c>
      <c r="F192" s="4" t="s">
        <v>45</v>
      </c>
      <c r="G192" s="4" t="s">
        <v>31</v>
      </c>
      <c r="H192" s="4" t="s">
        <v>32</v>
      </c>
      <c r="I192" s="4">
        <v>2</v>
      </c>
      <c r="J192" s="4" t="s">
        <v>41</v>
      </c>
      <c r="K192" s="4" t="s">
        <v>42</v>
      </c>
      <c r="L192" s="4">
        <v>55</v>
      </c>
      <c r="M192" s="4" t="s">
        <v>35</v>
      </c>
      <c r="N192" s="4">
        <f t="shared" si="12"/>
        <v>2500</v>
      </c>
      <c r="O192" s="4" t="str">
        <f t="shared" si="13"/>
        <v>Less Income</v>
      </c>
      <c r="P192" s="4" t="str">
        <f t="shared" si="14"/>
        <v>No</v>
      </c>
    </row>
    <row r="193" spans="1:16" ht="14.25" customHeight="1" x14ac:dyDescent="0.35">
      <c r="A193" s="4">
        <v>26944</v>
      </c>
      <c r="B193" s="4" t="s">
        <v>40</v>
      </c>
      <c r="C193" s="4" t="s">
        <v>28</v>
      </c>
      <c r="D193" s="5">
        <v>90000</v>
      </c>
      <c r="E193" s="4">
        <v>2</v>
      </c>
      <c r="F193" s="4" t="s">
        <v>45</v>
      </c>
      <c r="G193" s="4" t="s">
        <v>43</v>
      </c>
      <c r="H193" s="4" t="s">
        <v>32</v>
      </c>
      <c r="I193" s="4">
        <v>0</v>
      </c>
      <c r="J193" s="4" t="s">
        <v>33</v>
      </c>
      <c r="K193" s="4" t="s">
        <v>34</v>
      </c>
      <c r="L193" s="4">
        <v>36</v>
      </c>
      <c r="M193" s="4" t="s">
        <v>32</v>
      </c>
      <c r="N193" s="4">
        <f t="shared" si="12"/>
        <v>7500</v>
      </c>
      <c r="O193" s="4" t="str">
        <f t="shared" si="13"/>
        <v>High Income</v>
      </c>
      <c r="P193" s="4" t="str">
        <f t="shared" si="14"/>
        <v>Yes</v>
      </c>
    </row>
    <row r="194" spans="1:16" ht="14.25" customHeight="1" x14ac:dyDescent="0.35">
      <c r="A194" s="4">
        <v>15682</v>
      </c>
      <c r="B194" s="4" t="s">
        <v>40</v>
      </c>
      <c r="C194" s="4" t="s">
        <v>29</v>
      </c>
      <c r="D194" s="5">
        <v>80000</v>
      </c>
      <c r="E194" s="4">
        <v>5</v>
      </c>
      <c r="F194" s="4" t="s">
        <v>30</v>
      </c>
      <c r="G194" s="4" t="s">
        <v>46</v>
      </c>
      <c r="H194" s="4" t="s">
        <v>32</v>
      </c>
      <c r="I194" s="4">
        <v>2</v>
      </c>
      <c r="J194" s="4" t="s">
        <v>48</v>
      </c>
      <c r="K194" s="4" t="s">
        <v>34</v>
      </c>
      <c r="L194" s="4">
        <v>62</v>
      </c>
      <c r="M194" s="4" t="s">
        <v>35</v>
      </c>
      <c r="N194" s="4">
        <f t="shared" si="12"/>
        <v>6666.666666666667</v>
      </c>
      <c r="O194" s="4" t="str">
        <f t="shared" ref="O194:O200" si="15">IF(D194&gt;70000, "High Income", "Less Income")</f>
        <v>High Income</v>
      </c>
      <c r="P194" s="4" t="str">
        <f t="shared" ref="P194:P200" si="16">IF(AND(D194&gt;70000,L194&lt;40), "Yes", "No")</f>
        <v>No</v>
      </c>
    </row>
    <row r="195" spans="1:16" ht="14.25" customHeight="1" x14ac:dyDescent="0.35">
      <c r="A195" s="4">
        <v>26032</v>
      </c>
      <c r="B195" s="4" t="s">
        <v>28</v>
      </c>
      <c r="C195" s="4" t="s">
        <v>29</v>
      </c>
      <c r="D195" s="5">
        <v>70000</v>
      </c>
      <c r="E195" s="4">
        <v>5</v>
      </c>
      <c r="F195" s="4" t="s">
        <v>30</v>
      </c>
      <c r="G195" s="4" t="s">
        <v>38</v>
      </c>
      <c r="H195" s="4" t="s">
        <v>32</v>
      </c>
      <c r="I195" s="4">
        <v>4</v>
      </c>
      <c r="J195" s="4" t="s">
        <v>48</v>
      </c>
      <c r="K195" s="4" t="s">
        <v>42</v>
      </c>
      <c r="L195" s="4">
        <v>41</v>
      </c>
      <c r="M195" s="4" t="s">
        <v>35</v>
      </c>
      <c r="N195" s="4">
        <f t="shared" ref="N195:N200" si="17">D195/12</f>
        <v>5833.333333333333</v>
      </c>
      <c r="O195" s="4" t="str">
        <f t="shared" si="15"/>
        <v>Less Income</v>
      </c>
      <c r="P195" s="4" t="str">
        <f t="shared" si="16"/>
        <v>No</v>
      </c>
    </row>
    <row r="196" spans="1:16" ht="14.25" customHeight="1" x14ac:dyDescent="0.35">
      <c r="A196" s="4">
        <v>17843</v>
      </c>
      <c r="B196" s="4" t="s">
        <v>40</v>
      </c>
      <c r="C196" s="4" t="s">
        <v>29</v>
      </c>
      <c r="D196" s="5">
        <v>10000</v>
      </c>
      <c r="E196" s="4">
        <v>0</v>
      </c>
      <c r="F196" s="4" t="s">
        <v>47</v>
      </c>
      <c r="G196" s="4" t="s">
        <v>43</v>
      </c>
      <c r="H196" s="4" t="s">
        <v>35</v>
      </c>
      <c r="I196" s="4">
        <v>2</v>
      </c>
      <c r="J196" s="4" t="s">
        <v>33</v>
      </c>
      <c r="K196" s="4" t="s">
        <v>34</v>
      </c>
      <c r="L196" s="4">
        <v>32</v>
      </c>
      <c r="M196" s="4" t="s">
        <v>35</v>
      </c>
      <c r="N196" s="4">
        <f t="shared" si="17"/>
        <v>833.33333333333337</v>
      </c>
      <c r="O196" s="4" t="str">
        <f t="shared" si="15"/>
        <v>Less Income</v>
      </c>
      <c r="P196" s="4" t="str">
        <f t="shared" si="16"/>
        <v>No</v>
      </c>
    </row>
    <row r="197" spans="1:16" ht="14.25" customHeight="1" x14ac:dyDescent="0.35">
      <c r="A197" s="4">
        <v>25559</v>
      </c>
      <c r="B197" s="4" t="s">
        <v>40</v>
      </c>
      <c r="C197" s="4" t="s">
        <v>28</v>
      </c>
      <c r="D197" s="5">
        <v>20000</v>
      </c>
      <c r="E197" s="4">
        <v>0</v>
      </c>
      <c r="F197" s="4" t="s">
        <v>30</v>
      </c>
      <c r="G197" s="4" t="s">
        <v>37</v>
      </c>
      <c r="H197" s="4" t="s">
        <v>32</v>
      </c>
      <c r="I197" s="4">
        <v>0</v>
      </c>
      <c r="J197" s="4" t="s">
        <v>33</v>
      </c>
      <c r="K197" s="4" t="s">
        <v>42</v>
      </c>
      <c r="L197" s="4">
        <v>25</v>
      </c>
      <c r="M197" s="4" t="s">
        <v>32</v>
      </c>
      <c r="N197" s="4">
        <f t="shared" si="17"/>
        <v>1666.6666666666667</v>
      </c>
      <c r="O197" s="4" t="str">
        <f t="shared" si="15"/>
        <v>Less Income</v>
      </c>
      <c r="P197" s="4" t="str">
        <f t="shared" si="16"/>
        <v>No</v>
      </c>
    </row>
    <row r="198" spans="1:16" ht="14.25" customHeight="1" x14ac:dyDescent="0.35">
      <c r="A198" s="4">
        <v>16209</v>
      </c>
      <c r="B198" s="4" t="s">
        <v>40</v>
      </c>
      <c r="C198" s="4" t="s">
        <v>29</v>
      </c>
      <c r="D198" s="5">
        <v>50000</v>
      </c>
      <c r="E198" s="4">
        <v>0</v>
      </c>
      <c r="F198" s="4" t="s">
        <v>49</v>
      </c>
      <c r="G198" s="4" t="s">
        <v>31</v>
      </c>
      <c r="H198" s="4" t="s">
        <v>32</v>
      </c>
      <c r="I198" s="4">
        <v>0</v>
      </c>
      <c r="J198" s="4" t="s">
        <v>44</v>
      </c>
      <c r="K198" s="4" t="s">
        <v>34</v>
      </c>
      <c r="L198" s="4">
        <v>36</v>
      </c>
      <c r="M198" s="4" t="s">
        <v>35</v>
      </c>
      <c r="N198" s="4">
        <f t="shared" si="17"/>
        <v>4166.666666666667</v>
      </c>
      <c r="O198" s="4" t="str">
        <f t="shared" si="15"/>
        <v>Less Income</v>
      </c>
      <c r="P198" s="4" t="str">
        <f t="shared" si="16"/>
        <v>No</v>
      </c>
    </row>
    <row r="199" spans="1:16" ht="14.25" customHeight="1" x14ac:dyDescent="0.35">
      <c r="A199" s="4">
        <v>11147</v>
      </c>
      <c r="B199" s="4" t="s">
        <v>28</v>
      </c>
      <c r="C199" s="4" t="s">
        <v>28</v>
      </c>
      <c r="D199" s="5">
        <v>60000</v>
      </c>
      <c r="E199" s="4">
        <v>2</v>
      </c>
      <c r="F199" s="4" t="s">
        <v>49</v>
      </c>
      <c r="G199" s="4" t="s">
        <v>46</v>
      </c>
      <c r="H199" s="4" t="s">
        <v>32</v>
      </c>
      <c r="I199" s="4">
        <v>1</v>
      </c>
      <c r="J199" s="4" t="s">
        <v>33</v>
      </c>
      <c r="K199" s="4" t="s">
        <v>42</v>
      </c>
      <c r="L199" s="4">
        <v>67</v>
      </c>
      <c r="M199" s="4" t="s">
        <v>32</v>
      </c>
      <c r="N199" s="4">
        <f t="shared" si="17"/>
        <v>5000</v>
      </c>
      <c r="O199" s="4" t="str">
        <f t="shared" si="15"/>
        <v>Less Income</v>
      </c>
      <c r="P199" s="4" t="str">
        <f t="shared" si="16"/>
        <v>No</v>
      </c>
    </row>
    <row r="200" spans="1:16" ht="14.25" customHeight="1" x14ac:dyDescent="0.35">
      <c r="A200" s="4">
        <v>15214</v>
      </c>
      <c r="B200" s="4" t="s">
        <v>40</v>
      </c>
      <c r="C200" s="4" t="s">
        <v>29</v>
      </c>
      <c r="D200" s="5">
        <v>100000</v>
      </c>
      <c r="E200" s="4">
        <v>0</v>
      </c>
      <c r="F200" s="4" t="s">
        <v>49</v>
      </c>
      <c r="G200" s="4" t="s">
        <v>46</v>
      </c>
      <c r="H200" s="4" t="s">
        <v>35</v>
      </c>
      <c r="I200" s="4">
        <v>1</v>
      </c>
      <c r="J200" s="4" t="s">
        <v>44</v>
      </c>
      <c r="K200" s="4" t="s">
        <v>42</v>
      </c>
      <c r="L200" s="4">
        <v>39</v>
      </c>
      <c r="M200" s="4" t="s">
        <v>32</v>
      </c>
      <c r="N200" s="4">
        <f t="shared" si="17"/>
        <v>8333.3333333333339</v>
      </c>
      <c r="O200" s="4" t="str">
        <f t="shared" si="15"/>
        <v>High Income</v>
      </c>
      <c r="P200" s="4" t="str">
        <f t="shared" si="16"/>
        <v>Yes</v>
      </c>
    </row>
    <row r="201" spans="1:16" ht="14.25" customHeight="1" x14ac:dyDescent="0.35">
      <c r="A201" s="16"/>
      <c r="B201" s="16"/>
      <c r="C201" s="16"/>
      <c r="D201" s="17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</row>
    <row r="202" spans="1:16" ht="14.25" customHeight="1" x14ac:dyDescent="0.35"/>
    <row r="203" spans="1:16" ht="14.25" customHeight="1" x14ac:dyDescent="0.35"/>
    <row r="204" spans="1:16" ht="14.25" customHeight="1" x14ac:dyDescent="0.35"/>
    <row r="205" spans="1:16" ht="14.25" customHeight="1" x14ac:dyDescent="0.35"/>
    <row r="206" spans="1:16" ht="14.25" customHeight="1" x14ac:dyDescent="0.35"/>
    <row r="207" spans="1:16" ht="14.25" customHeight="1" x14ac:dyDescent="0.35"/>
    <row r="208" spans="1:16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S25:AI28" xr:uid="{00000000-0001-0000-0100-000000000000}"/>
  <conditionalFormatting sqref="A2:Q200">
    <cfRule type="expression" dxfId="18" priority="1">
      <formula>AND($L2&lt;$T$6,$M2 =$T$8)</formula>
    </cfRule>
    <cfRule type="expression" dxfId="17" priority="2">
      <formula>$D2&gt;=$T$4</formula>
    </cfRule>
  </conditionalFormatting>
  <dataValidations count="1">
    <dataValidation type="list" allowBlank="1" showInputMessage="1" showErrorMessage="1" errorTitle="Error" error="Invalid payment type_x000a_" promptTitle="EFT or Debit" prompt="Choose EFT or Debit for cell input" sqref="Q2:Q200" xr:uid="{0418BBB0-368A-4E67-B2EB-189E54AC08E5}">
      <formula1>"EFT,Debit"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653B-66B8-4F3A-A4E2-2098D5CD806E}">
  <dimension ref="A3:B8"/>
  <sheetViews>
    <sheetView topLeftCell="B1" workbookViewId="0">
      <selection activeCell="B13" sqref="B13"/>
    </sheetView>
  </sheetViews>
  <sheetFormatPr defaultRowHeight="14.5" x14ac:dyDescent="0.35"/>
  <cols>
    <col min="1" max="1" width="16.26953125" bestFit="1" customWidth="1"/>
    <col min="2" max="2" width="16.453125" bestFit="1" customWidth="1"/>
  </cols>
  <sheetData>
    <row r="3" spans="1:2" x14ac:dyDescent="0.35">
      <c r="A3" s="9" t="s">
        <v>19</v>
      </c>
      <c r="B3" t="s">
        <v>55</v>
      </c>
    </row>
    <row r="4" spans="1:2" x14ac:dyDescent="0.35">
      <c r="A4" t="s">
        <v>30</v>
      </c>
      <c r="B4" s="10">
        <v>53492.063492063491</v>
      </c>
    </row>
    <row r="5" spans="1:2" x14ac:dyDescent="0.35">
      <c r="A5" t="s">
        <v>49</v>
      </c>
      <c r="B5" s="10">
        <v>46666.666666666664</v>
      </c>
    </row>
    <row r="6" spans="1:2" x14ac:dyDescent="0.35">
      <c r="A6" t="s">
        <v>45</v>
      </c>
      <c r="B6" s="10">
        <v>50526.315789473687</v>
      </c>
    </row>
    <row r="7" spans="1:2" x14ac:dyDescent="0.35">
      <c r="A7" t="s">
        <v>36</v>
      </c>
      <c r="B7" s="10">
        <v>49558.823529411762</v>
      </c>
    </row>
    <row r="8" spans="1:2" x14ac:dyDescent="0.35">
      <c r="A8" t="s">
        <v>47</v>
      </c>
      <c r="B8" s="10">
        <v>21333.333333333332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8640-5EE9-4982-9C0B-E2B4AB011014}">
  <dimension ref="A3:B5"/>
  <sheetViews>
    <sheetView topLeftCell="A16" workbookViewId="0">
      <selection activeCell="K21" sqref="K21"/>
    </sheetView>
  </sheetViews>
  <sheetFormatPr defaultRowHeight="14.5" x14ac:dyDescent="0.35"/>
  <cols>
    <col min="1" max="1" width="12.36328125" bestFit="1" customWidth="1"/>
    <col min="2" max="2" width="21.54296875" bestFit="1" customWidth="1"/>
  </cols>
  <sheetData>
    <row r="3" spans="1:2" x14ac:dyDescent="0.35">
      <c r="A3" s="9" t="s">
        <v>63</v>
      </c>
      <c r="B3" t="s">
        <v>65</v>
      </c>
    </row>
    <row r="4" spans="1:2" x14ac:dyDescent="0.35">
      <c r="A4" s="11" t="s">
        <v>32</v>
      </c>
      <c r="B4">
        <v>105</v>
      </c>
    </row>
    <row r="5" spans="1:2" x14ac:dyDescent="0.35">
      <c r="A5" s="11" t="s">
        <v>64</v>
      </c>
      <c r="B5">
        <v>105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D34C-025C-4DA2-AEB5-92FBDAF56488}">
  <dimension ref="A3:B7"/>
  <sheetViews>
    <sheetView workbookViewId="0">
      <selection activeCell="B10" sqref="B10"/>
    </sheetView>
  </sheetViews>
  <sheetFormatPr defaultRowHeight="14.5" x14ac:dyDescent="0.35"/>
  <cols>
    <col min="1" max="1" width="12.36328125" bestFit="1" customWidth="1"/>
    <col min="2" max="2" width="21.54296875" bestFit="1" customWidth="1"/>
    <col min="3" max="3" width="10.1796875" bestFit="1" customWidth="1"/>
  </cols>
  <sheetData>
    <row r="3" spans="1:2" x14ac:dyDescent="0.35">
      <c r="A3" s="9" t="s">
        <v>63</v>
      </c>
      <c r="B3" t="s">
        <v>65</v>
      </c>
    </row>
    <row r="4" spans="1:2" x14ac:dyDescent="0.35">
      <c r="A4" s="11" t="s">
        <v>32</v>
      </c>
      <c r="B4">
        <v>105</v>
      </c>
    </row>
    <row r="5" spans="1:2" x14ac:dyDescent="0.35">
      <c r="A5" s="12" t="s">
        <v>34</v>
      </c>
      <c r="B5">
        <v>58</v>
      </c>
    </row>
    <row r="6" spans="1:2" x14ac:dyDescent="0.35">
      <c r="A6" s="12" t="s">
        <v>42</v>
      </c>
      <c r="B6">
        <v>47</v>
      </c>
    </row>
    <row r="7" spans="1:2" x14ac:dyDescent="0.35">
      <c r="A7" s="11" t="s">
        <v>64</v>
      </c>
      <c r="B7">
        <v>105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7F38-9DB7-4350-89E5-9968A4CACF98}">
  <dimension ref="A3:B6"/>
  <sheetViews>
    <sheetView workbookViewId="0">
      <selection activeCell="C10" sqref="C10"/>
    </sheetView>
  </sheetViews>
  <sheetFormatPr defaultRowHeight="14.5" x14ac:dyDescent="0.35"/>
  <cols>
    <col min="1" max="1" width="12.36328125" bestFit="1" customWidth="1"/>
    <col min="2" max="3" width="16.453125" bestFit="1" customWidth="1"/>
  </cols>
  <sheetData>
    <row r="3" spans="1:2" x14ac:dyDescent="0.35">
      <c r="A3" s="9" t="s">
        <v>63</v>
      </c>
      <c r="B3" t="s">
        <v>55</v>
      </c>
    </row>
    <row r="4" spans="1:2" x14ac:dyDescent="0.35">
      <c r="A4" s="11" t="s">
        <v>35</v>
      </c>
      <c r="B4" s="10">
        <v>49042.553191489358</v>
      </c>
    </row>
    <row r="5" spans="1:2" x14ac:dyDescent="0.35">
      <c r="A5" s="11" t="s">
        <v>32</v>
      </c>
      <c r="B5" s="10">
        <v>48285.714285714283</v>
      </c>
    </row>
    <row r="6" spans="1:2" x14ac:dyDescent="0.35">
      <c r="A6" s="11" t="s">
        <v>64</v>
      </c>
      <c r="B6" s="10">
        <v>48643.21608040201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4"/>
  <sheetViews>
    <sheetView workbookViewId="0"/>
  </sheetViews>
  <sheetFormatPr defaultColWidth="14.453125" defaultRowHeight="15" customHeight="1" x14ac:dyDescent="0.35"/>
  <sheetData>
    <row r="1" spans="1:17" ht="15" customHeight="1" x14ac:dyDescent="0.35">
      <c r="A1" s="8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50</v>
      </c>
      <c r="O1" s="8" t="s">
        <v>56</v>
      </c>
      <c r="P1" s="8" t="s">
        <v>62</v>
      </c>
      <c r="Q1" s="3" t="s">
        <v>27</v>
      </c>
    </row>
    <row r="2" spans="1:17" ht="15" customHeight="1" x14ac:dyDescent="0.35">
      <c r="A2" s="4">
        <v>12678</v>
      </c>
      <c r="B2" s="4" t="s">
        <v>40</v>
      </c>
      <c r="C2" s="4" t="s">
        <v>29</v>
      </c>
      <c r="D2" s="5">
        <v>130000</v>
      </c>
      <c r="E2" s="4">
        <v>4</v>
      </c>
      <c r="F2" s="4" t="s">
        <v>45</v>
      </c>
      <c r="G2" s="4" t="s">
        <v>46</v>
      </c>
      <c r="H2" s="4" t="s">
        <v>32</v>
      </c>
      <c r="I2" s="4">
        <v>4</v>
      </c>
      <c r="J2" s="4" t="s">
        <v>33</v>
      </c>
      <c r="K2" s="4" t="s">
        <v>42</v>
      </c>
      <c r="L2" s="4">
        <v>31</v>
      </c>
      <c r="M2" s="4" t="s">
        <v>35</v>
      </c>
      <c r="N2" s="4">
        <v>10833.333333333334</v>
      </c>
      <c r="O2" s="4" t="s">
        <v>56</v>
      </c>
      <c r="P2" s="4" t="s">
        <v>32</v>
      </c>
    </row>
    <row r="3" spans="1:17" ht="15" customHeight="1" x14ac:dyDescent="0.35">
      <c r="A3" s="4">
        <v>12344</v>
      </c>
      <c r="B3" s="4" t="s">
        <v>40</v>
      </c>
      <c r="C3" s="4" t="s">
        <v>29</v>
      </c>
      <c r="D3" s="5">
        <v>80000</v>
      </c>
      <c r="E3" s="4">
        <v>0</v>
      </c>
      <c r="F3" s="4" t="s">
        <v>30</v>
      </c>
      <c r="G3" s="4" t="s">
        <v>38</v>
      </c>
      <c r="H3" s="4" t="s">
        <v>35</v>
      </c>
      <c r="I3" s="4">
        <v>3</v>
      </c>
      <c r="J3" s="4" t="s">
        <v>48</v>
      </c>
      <c r="K3" s="4" t="s">
        <v>42</v>
      </c>
      <c r="L3" s="4">
        <v>31</v>
      </c>
      <c r="M3" s="4" t="s">
        <v>35</v>
      </c>
      <c r="N3" s="4">
        <v>6666.666666666667</v>
      </c>
      <c r="O3" s="4" t="s">
        <v>56</v>
      </c>
      <c r="P3" s="4" t="s">
        <v>32</v>
      </c>
    </row>
    <row r="4" spans="1:17" ht="15" customHeight="1" x14ac:dyDescent="0.35">
      <c r="A4" s="4">
        <v>16614</v>
      </c>
      <c r="B4" s="4" t="s">
        <v>28</v>
      </c>
      <c r="C4" s="4" t="s">
        <v>29</v>
      </c>
      <c r="D4" s="5">
        <v>80000</v>
      </c>
      <c r="E4" s="4">
        <v>0</v>
      </c>
      <c r="F4" s="4" t="s">
        <v>30</v>
      </c>
      <c r="G4" s="4" t="s">
        <v>38</v>
      </c>
      <c r="H4" s="4" t="s">
        <v>32</v>
      </c>
      <c r="I4" s="4">
        <v>3</v>
      </c>
      <c r="J4" s="4" t="s">
        <v>48</v>
      </c>
      <c r="K4" s="4" t="s">
        <v>42</v>
      </c>
      <c r="L4" s="4">
        <v>32</v>
      </c>
      <c r="M4" s="4" t="s">
        <v>35</v>
      </c>
      <c r="N4" s="4">
        <v>6666.666666666667</v>
      </c>
      <c r="O4" s="4" t="s">
        <v>56</v>
      </c>
      <c r="P4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Assessments</vt:lpstr>
      <vt:lpstr>bike_buyers</vt:lpstr>
      <vt:lpstr>Question 3</vt:lpstr>
      <vt:lpstr>Question 8</vt:lpstr>
      <vt:lpstr>Question 8 (2)</vt:lpstr>
      <vt:lpstr>Question 8 (3)</vt:lpstr>
      <vt:lpstr>Question 11</vt:lpstr>
      <vt:lpstr>bike_buyers!Criteria</vt:lpstr>
      <vt:lpstr>bike_buyers!Extract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Zahir Ken</dc:creator>
  <cp:lastModifiedBy>Andreas Wong</cp:lastModifiedBy>
  <dcterms:created xsi:type="dcterms:W3CDTF">2022-03-18T02:50:57Z</dcterms:created>
  <dcterms:modified xsi:type="dcterms:W3CDTF">2026-03-04T12:50:08Z</dcterms:modified>
</cp:coreProperties>
</file>